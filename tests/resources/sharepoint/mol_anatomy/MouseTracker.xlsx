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1.xml" ContentType="application/xml"/>
  <Override PartName="/customXml/item3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2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and Color codes" sheetId="1" state="visible" r:id="rId2"/>
    <sheet name="ePet-Cre_PK" sheetId="2" state="visible" r:id="rId3"/>
    <sheet name="Slc6a4-Cre_PK" sheetId="3" state="visible" r:id="rId4"/>
    <sheet name="Cart-IRES2-Cre-neo(ND)-new" sheetId="4" state="visible" r:id="rId5"/>
    <sheet name="Calb2-CreERT2;Ai166-new" sheetId="5" state="visible" r:id="rId6"/>
    <sheet name="Grp-IRES-Cre_BL (2)-old" sheetId="6" state="visible" r:id="rId7"/>
    <sheet name="Crh-IRES-Cre_BL-old" sheetId="7" state="visible" r:id="rId8"/>
    <sheet name="Slc17a8-iCre(ND)-old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<sst xmlns="http://schemas.openxmlformats.org/spreadsheetml/2006/main" count="1547" uniqueCount="144">
  <si>
    <t xml:space="preserve">#</t>
  </si>
  <si>
    <t xml:space="preserve">Status</t>
  </si>
  <si>
    <t xml:space="preserve">Pedigree</t>
  </si>
  <si>
    <t xml:space="preserve">Mouse ID</t>
  </si>
  <si>
    <t xml:space="preserve">Sex</t>
  </si>
  <si>
    <t xml:space="preserve">DOB</t>
  </si>
  <si>
    <t xml:space="preserve">Injection Requested?</t>
  </si>
  <si>
    <t xml:space="preserve">RO Injection Date</t>
  </si>
  <si>
    <t xml:space="preserve">TAM injection (first day)</t>
  </si>
  <si>
    <t xml:space="preserve">TAM injection (last day)</t>
  </si>
  <si>
    <t xml:space="preserve">Age of Injection</t>
  </si>
  <si>
    <t xml:space="preserve">Virus</t>
  </si>
  <si>
    <t xml:space="preserve">Virus ID</t>
  </si>
  <si>
    <t xml:space="preserve">Titer</t>
  </si>
  <si>
    <t xml:space="preserve">Dose</t>
  </si>
  <si>
    <t xml:space="preserve">Vehicle</t>
  </si>
  <si>
    <t xml:space="preserve">Volume Injected</t>
  </si>
  <si>
    <t xml:space="preserve">LAS injection Notes</t>
  </si>
  <si>
    <t xml:space="preserve">Perfusion Requested?</t>
  </si>
  <si>
    <t xml:space="preserve">Perfusion Type</t>
  </si>
  <si>
    <t xml:space="preserve">Perfusion Date</t>
  </si>
  <si>
    <t xml:space="preserve">Age of Perfusion</t>
  </si>
  <si>
    <t xml:space="preserve">LAS Perfusion/Dissection Notes</t>
  </si>
  <si>
    <t xml:space="preserve">Gross Anatomy Notes (pre-processing)</t>
  </si>
  <si>
    <t xml:space="preserve">Notes</t>
  </si>
  <si>
    <t xml:space="preserve">Starting delipidation 3/2. Perfused, PBS Azide in 4C</t>
  </si>
  <si>
    <t xml:space="preserve">Cart-IRES2-Cre-neo(ND)</t>
  </si>
  <si>
    <t xml:space="preserve">M</t>
  </si>
  <si>
    <t xml:space="preserve">ü</t>
  </si>
  <si>
    <t xml:space="preserve">-</t>
  </si>
  <si>
    <t xml:space="preserve">AAV-PHP-eB_Syn-Flex TRE-2tTA, </t>
  </si>
  <si>
    <t xml:space="preserve">VT3214g</t>
  </si>
  <si>
    <t xml:space="preserve">AAV buffer</t>
  </si>
  <si>
    <t xml:space="preserve">100uL</t>
  </si>
  <si>
    <t xml:space="preserve">perfect</t>
  </si>
  <si>
    <t xml:space="preserve">4% PFA fix, Stored in PBS Azide 0.01%</t>
  </si>
  <si>
    <t xml:space="preserve">Perfect</t>
  </si>
  <si>
    <t xml:space="preserve">Good Sparsity - 10-12 cell bodies visible on each hemi</t>
  </si>
  <si>
    <t xml:space="preserve">Removed dura before delipidation</t>
  </si>
  <si>
    <t xml:space="preserve">AAV-PHP-eB_TREx7-3xGFP</t>
  </si>
  <si>
    <t xml:space="preserve">VT3213g</t>
  </si>
  <si>
    <t xml:space="preserve">removed dura before delipidation</t>
  </si>
  <si>
    <t xml:space="preserve">Removed dura before delipidation. Done and imaged.</t>
  </si>
  <si>
    <t xml:space="preserve">Double delipidated, holding in 4C</t>
  </si>
  <si>
    <t xml:space="preserve">Slc6a5-Cre_KF109(ND)</t>
  </si>
  <si>
    <t xml:space="preserve">F</t>
  </si>
  <si>
    <t xml:space="preserve">RO perfect</t>
  </si>
  <si>
    <t xml:space="preserve">n/a - already processed before checking</t>
  </si>
  <si>
    <t xml:space="preserve">AAV-PHP-eB_7x-TRE-tDTomato</t>
  </si>
  <si>
    <t xml:space="preserve">VT3215g</t>
  </si>
  <si>
    <t xml:space="preserve">Mouse ID green:</t>
  </si>
  <si>
    <t xml:space="preserve">if it is GFP</t>
  </si>
  <si>
    <t xml:space="preserve">Mouse ID red:</t>
  </si>
  <si>
    <t xml:space="preserve">if it is tdT</t>
  </si>
  <si>
    <t xml:space="preserve">Highlight the row if the anatomy process is done or ongoing</t>
  </si>
  <si>
    <t xml:space="preserve">Death or stop breeding</t>
  </si>
  <si>
    <t xml:space="preserve">ePet-Cre (ND)</t>
  </si>
  <si>
    <t xml:space="preserve">AAV-PHP-eB_Syn-Flex TRE-2tTA,</t>
  </si>
  <si>
    <t xml:space="preserve">P</t>
  </si>
  <si>
    <t xml:space="preserve">Mild</t>
  </si>
  <si>
    <t xml:space="preserve">AAV-PHP-eB_7x-TRE-3xGFP</t>
  </si>
  <si>
    <t xml:space="preserve">VT4299g</t>
  </si>
  <si>
    <t xml:space="preserve">VT4359g</t>
  </si>
  <si>
    <t xml:space="preserve">Slc6a4-Cre_ET33(ND)</t>
  </si>
  <si>
    <t xml:space="preserve">Perfused, PBS Az in 4C</t>
  </si>
  <si>
    <t xml:space="preserve">Good Sparsity - 8-9 cell bodies visible. </t>
  </si>
  <si>
    <t xml:space="preserve">Slight lung inflation, Vein visible right cortex</t>
  </si>
  <si>
    <t xml:space="preserve">Good Sparsity - 8-9 cell bodies visible.  Some blood in surface vasculature on right cortex</t>
  </si>
  <si>
    <t xml:space="preserve">J</t>
  </si>
  <si>
    <t xml:space="preserve">Higher Sparsity- fewer cells visible than the others- 5-7 cell bodies visible on each hemi</t>
  </si>
  <si>
    <t xml:space="preserve">some leakage</t>
  </si>
  <si>
    <t xml:space="preserve">delipidated</t>
  </si>
  <si>
    <t xml:space="preserve">already delipidated before checking</t>
  </si>
  <si>
    <t xml:space="preserve">Perfect/Left Para gone</t>
  </si>
  <si>
    <t xml:space="preserve">Starting delipidation 3/2. Perfused, PBS Az in 4C</t>
  </si>
  <si>
    <t xml:space="preserve">stop breeding once the last mouse is perfused</t>
  </si>
  <si>
    <t xml:space="preserve">K notified to stop breeding 2/28/23</t>
  </si>
  <si>
    <t xml:space="preserve">Delipidated, Stained, ExM</t>
  </si>
  <si>
    <t xml:space="preserve">Calb2-CreERT2/wt;Ai166(TIT2L-MORF-ICL-tTA2)/wt</t>
  </si>
  <si>
    <t xml:space="preserve">This was an older delipidated brain that I gelled to make sure I could get it entirely clear.  This worked.  Now I am adding Primary Conj. 488 stain post-gelation</t>
  </si>
  <si>
    <t xml:space="preserve">Delipidated, Cleared</t>
  </si>
  <si>
    <t xml:space="preserve">Sectioned</t>
  </si>
  <si>
    <t xml:space="preserve">Sectioned 100um to check expression</t>
  </si>
  <si>
    <t xml:space="preserve">Lung inflation; ran 5ml extra saline to clear liver</t>
  </si>
  <si>
    <t xml:space="preserve">Sent to LifeCanvas</t>
  </si>
  <si>
    <t xml:space="preserve">*Change to 5 day TAM, this was rescheduled from 12/28 to 1/3-1/7, which is p41-p45.  Perfusion is p66.</t>
  </si>
  <si>
    <t xml:space="preserve">sent to life canvas</t>
  </si>
  <si>
    <t xml:space="preserve">give to D</t>
  </si>
  <si>
    <t xml:space="preserve">5 day TAM, liver blushy</t>
  </si>
  <si>
    <t xml:space="preserve">5 day TAM, slight lung inflation</t>
  </si>
  <si>
    <t xml:space="preserve">5 day TAM, perfect</t>
  </si>
  <si>
    <t xml:space="preserve">J ExM</t>
  </si>
  <si>
    <t xml:space="preserve">J  ExM</t>
  </si>
  <si>
    <t xml:space="preserve">3 DAY TAM.  Mild depression from skull deformation lateral left cortex.  Perfect dissection.</t>
  </si>
  <si>
    <t xml:space="preserve">3 day TAM, perfect</t>
  </si>
  <si>
    <t xml:space="preserve">3 day TAM, perfect perfusion, Mild tool damage caudal right cerebellum</t>
  </si>
  <si>
    <t xml:space="preserve">Delipidated</t>
  </si>
  <si>
    <t xml:space="preserve">Perfused, stored in PBS Azide 0.01%</t>
  </si>
  <si>
    <t xml:space="preserve">Start delipidation 3/2/23</t>
  </si>
  <si>
    <t xml:space="preserve">3 day TAM, perfect  Removed dura before delipidation</t>
  </si>
  <si>
    <t xml:space="preserve">3 day TAM, perfect.  Removed dura before delipidation</t>
  </si>
  <si>
    <t xml:space="preserve">alive</t>
  </si>
  <si>
    <t xml:space="preserve">TBD</t>
  </si>
  <si>
    <t xml:space="preserve">Age Injected</t>
  </si>
  <si>
    <t xml:space="preserve">LAS Notes</t>
  </si>
  <si>
    <t xml:space="preserve">My notes</t>
  </si>
  <si>
    <t xml:space="preserve">Grp-IRES-Cre_BL</t>
  </si>
  <si>
    <t xml:space="preserve">AAV Buffer</t>
  </si>
  <si>
    <t xml:space="preserve">Bleeding</t>
  </si>
  <si>
    <t xml:space="preserve">Slight lung inflation</t>
  </si>
  <si>
    <t xml:space="preserve">VT4360g</t>
  </si>
  <si>
    <t xml:space="preserve">Slight Bleeding</t>
  </si>
  <si>
    <t xml:space="preserve">VT4299G</t>
  </si>
  <si>
    <t xml:space="preserve">Adjusted tta to 1e8</t>
  </si>
  <si>
    <t xml:space="preserve">VT4359G</t>
  </si>
  <si>
    <t xml:space="preserve">do gfp</t>
  </si>
  <si>
    <t xml:space="preserve">do tDT</t>
  </si>
  <si>
    <t xml:space="preserve">Gross Anatomical Observations</t>
  </si>
  <si>
    <t xml:space="preserve">Crh-IRES-Cre_BL</t>
  </si>
  <si>
    <t xml:space="preserve">?</t>
  </si>
  <si>
    <t xml:space="preserve">Labeling, sparsity looks good.</t>
  </si>
  <si>
    <t xml:space="preserve">Right Para gone</t>
  </si>
  <si>
    <t xml:space="preserve">slight, leakage</t>
  </si>
  <si>
    <t xml:space="preserve">Base of cerebellu m slight blushing</t>
  </si>
  <si>
    <t xml:space="preserve">Gross Anatomy Observations (pre-processing)</t>
  </si>
  <si>
    <t xml:space="preserve">`</t>
  </si>
  <si>
    <t xml:space="preserve">Delipidated, stored at 4C</t>
  </si>
  <si>
    <t xml:space="preserve">Slc17a8-iCre(ND)</t>
  </si>
  <si>
    <t xml:space="preserve">n/a</t>
  </si>
  <si>
    <t xml:space="preserve">Start Delipidation 3/2/23</t>
  </si>
  <si>
    <t xml:space="preserve">Beautiful sparsity seen in this sample</t>
  </si>
  <si>
    <t xml:space="preserve">Slight blush dorsal right cortex with one vein</t>
  </si>
  <si>
    <t xml:space="preserve">Some blood in vessels on cortex</t>
  </si>
  <si>
    <t xml:space="preserve">Mild Bleed</t>
  </si>
  <si>
    <t xml:space="preserve">Sparsity good</t>
  </si>
  <si>
    <t xml:space="preserve">Low Sparsity</t>
  </si>
  <si>
    <t xml:space="preserve">Extra saline 5mL ran to clear the liver</t>
  </si>
  <si>
    <t xml:space="preserve">Nose drip and lung inflation</t>
  </si>
  <si>
    <t xml:space="preserve">Liver very blushy</t>
  </si>
  <si>
    <t xml:space="preserve">Informed K to stop breeding after last perfusion Is complete</t>
  </si>
  <si>
    <t xml:space="preserve">We only have 9 for this group.  I didn't realize one of the perfusions didn't go well and breeding already stopped</t>
  </si>
  <si>
    <t xml:space="preserve">Deaths/Health issues</t>
  </si>
  <si>
    <t xml:space="preserve">gfp</t>
  </si>
  <si>
    <t xml:space="preserve">Failed perfusion. No perfusion reaction, carcass soft, and liver soft/blushy.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</si>
</sst>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"/>
    <numFmt numFmtId="167" formatCode="0.00E+00"/>
    <numFmt numFmtId="168" formatCode="General"/>
    <numFmt numFmtId="169" formatCode="d\-mmm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2"/>
      <color rgb="FF70AD47"/>
      <name val="Calibri"/>
      <family val="2"/>
      <charset val="1"/>
    </font>
    <font>
      <sz val="9"/>
      <color rgb="FF000000"/>
      <name val="Wingdings"/>
      <family val="0"/>
      <charset val="2"/>
    </font>
    <font>
      <sz val="9"/>
      <color rgb="FF000000"/>
      <name val="Calibri"/>
      <family val="0"/>
      <charset val="1"/>
    </font>
    <font>
      <sz val="11"/>
      <color rgb="FF444444"/>
      <name val="Calibri"/>
      <family val="0"/>
      <charset val="1"/>
    </font>
    <font>
      <b val="true"/>
      <sz val="12"/>
      <color rgb="FFFF0000"/>
      <name val="Calibri"/>
      <family val="2"/>
      <charset val="1"/>
    </font>
    <font>
      <b val="true"/>
      <sz val="11"/>
      <color rgb="FF70AD47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9"/>
      <color rgb="FF242424"/>
      <name val="Calibri"/>
      <family val="0"/>
      <charset val="1"/>
    </font>
    <font>
      <sz val="9"/>
      <color rgb="FF444444"/>
      <name val="Calibri"/>
      <family val="0"/>
      <charset val="1"/>
    </font>
    <font>
      <b val="true"/>
      <sz val="12"/>
      <color rgb="FF00B050"/>
      <name val="Calibri"/>
      <family val="2"/>
      <charset val="1"/>
    </font>
    <font>
      <i val="true"/>
      <sz val="9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2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Wingdings"/>
      <family val="0"/>
      <charset val="2"/>
    </font>
    <font>
      <sz val="11"/>
      <color rgb="FF70AD47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92D050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A6A6A6"/>
      <name val="Calibri"/>
      <family val="2"/>
      <charset val="1"/>
    </font>
    <font>
      <sz val="7"/>
      <color rgb="FF000000"/>
      <name val="Calibri"/>
      <family val="2"/>
      <charset val="1"/>
    </font>
    <font>
      <sz val="11"/>
      <name val="Wingdings"/>
      <family val="0"/>
      <charset val="2"/>
    </font>
    <font>
      <sz val="9"/>
      <name val="Calibri"/>
      <family val="2"/>
      <charset val="1"/>
    </font>
    <font>
      <i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0D7E8"/>
        <bgColor rgb="FFD0CECE"/>
      </patternFill>
    </fill>
    <fill>
      <patternFill patternType="solid">
        <fgColor rgb="FFFFF2CC"/>
        <bgColor rgb="FFFFFFFF"/>
      </patternFill>
    </fill>
    <fill>
      <patternFill patternType="solid">
        <fgColor rgb="FFBFBFBF"/>
        <bgColor rgb="FFD0CECE"/>
      </patternFill>
    </fill>
    <fill>
      <patternFill patternType="solid">
        <fgColor rgb="FFD0CECE"/>
        <bgColor rgb="FFD0D7E8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0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8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28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2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33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5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2" fillId="5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8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5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0AD47"/>
      <rgbColor rgb="FF9999FF"/>
      <rgbColor rgb="FF993366"/>
      <rgbColor rgb="FFFFF2CC"/>
      <rgbColor rgb="FFCCFFFF"/>
      <rgbColor rgb="FF660066"/>
      <rgbColor rgb="FFFF8080"/>
      <rgbColor rgb="FF0066CC"/>
      <rgbColor rgb="FFD0D7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0CECE"/>
      <rgbColor rgb="FF3366FF"/>
      <rgbColor rgb="FF33CCCC"/>
      <rgbColor rgb="FF92D05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444444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7" activeCellId="0" sqref="E37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19"/>
    <col collapsed="false" customWidth="true" hidden="false" outlineLevel="0" max="3" min="3" style="0" width="19.99"/>
    <col collapsed="false" customWidth="true" hidden="false" outlineLevel="0" max="4" min="4" style="0" width="18"/>
    <col collapsed="false" customWidth="true" hidden="false" outlineLevel="0" max="5" min="5" style="0" width="12.57"/>
    <col collapsed="false" customWidth="true" hidden="false" outlineLevel="0" max="6" min="6" style="0" width="14.01"/>
    <col collapsed="false" customWidth="true" hidden="false" outlineLevel="0" max="10" min="7" style="0" width="15.29"/>
    <col collapsed="false" customWidth="true" hidden="false" outlineLevel="0" max="11" min="11" style="0" width="17.29"/>
    <col collapsed="false" customWidth="true" hidden="false" outlineLevel="0" max="12" min="12" style="0" width="33.57"/>
    <col collapsed="false" customWidth="true" hidden="false" outlineLevel="0" max="13" min="13" style="0" width="17.29"/>
    <col collapsed="false" customWidth="true" hidden="false" outlineLevel="0" max="14" min="14" style="0" width="16"/>
    <col collapsed="false" customWidth="true" hidden="false" outlineLevel="0" max="15" min="15" style="0" width="18.14"/>
    <col collapsed="false" customWidth="true" hidden="false" outlineLevel="0" max="16" min="16" style="0" width="20.42"/>
    <col collapsed="false" customWidth="true" hidden="false" outlineLevel="0" max="17" min="17" style="0" width="14.28"/>
    <col collapsed="false" customWidth="true" hidden="false" outlineLevel="0" max="18" min="18" style="0" width="20.14"/>
    <col collapsed="false" customWidth="true" hidden="false" outlineLevel="0" max="19" min="19" style="0" width="18.42"/>
    <col collapsed="false" customWidth="true" hidden="false" outlineLevel="0" max="20" min="20" style="0" width="22.01"/>
    <col collapsed="false" customWidth="true" hidden="false" outlineLevel="0" max="21" min="21" style="0" width="13.01"/>
    <col collapsed="false" customWidth="true" hidden="false" outlineLevel="0" max="22" min="22" style="0" width="12.86"/>
    <col collapsed="false" customWidth="true" hidden="false" outlineLevel="0" max="23" min="23" style="0" width="32.29"/>
    <col collapsed="false" customWidth="true" hidden="false" outlineLevel="0" max="24" min="24" style="0" width="32.15"/>
    <col collapsed="false" customWidth="true" hidden="false" outlineLevel="0" max="25" min="25" style="0" width="25.14"/>
  </cols>
  <sheetData>
    <row r="1" s="2" customFormat="true" ht="32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3" s="14" customFormat="true" ht="12" hidden="false" customHeight="true" outlineLevel="0" collapsed="false">
      <c r="A3" s="3" t="n">
        <v>1</v>
      </c>
      <c r="B3" s="3" t="s">
        <v>25</v>
      </c>
      <c r="C3" s="3" t="s">
        <v>26</v>
      </c>
      <c r="D3" s="4" t="n">
        <v>660949</v>
      </c>
      <c r="E3" s="3" t="s">
        <v>27</v>
      </c>
      <c r="F3" s="5" t="n">
        <v>44902</v>
      </c>
      <c r="G3" s="6" t="s">
        <v>28</v>
      </c>
      <c r="H3" s="5" t="n">
        <v>44936</v>
      </c>
      <c r="I3" s="7" t="s">
        <v>29</v>
      </c>
      <c r="J3" s="7" t="s">
        <v>29</v>
      </c>
      <c r="K3" s="8" t="n">
        <f aca="false">H3-F3</f>
        <v>34</v>
      </c>
      <c r="L3" s="9" t="s">
        <v>30</v>
      </c>
      <c r="M3" s="10" t="s">
        <v>31</v>
      </c>
      <c r="N3" s="11" t="n">
        <v>41300000000000</v>
      </c>
      <c r="O3" s="12" t="n">
        <v>600000000</v>
      </c>
      <c r="P3" s="13" t="s">
        <v>32</v>
      </c>
      <c r="Q3" s="3" t="s">
        <v>33</v>
      </c>
      <c r="R3" s="3" t="s">
        <v>34</v>
      </c>
      <c r="S3" s="6" t="s">
        <v>28</v>
      </c>
      <c r="T3" s="3" t="s">
        <v>35</v>
      </c>
      <c r="U3" s="5" t="n">
        <v>44978</v>
      </c>
      <c r="V3" s="3" t="n">
        <f aca="false">DATEDIF(F3,U3,"d")</f>
        <v>76</v>
      </c>
      <c r="W3" s="3" t="s">
        <v>36</v>
      </c>
      <c r="X3" s="3" t="s">
        <v>37</v>
      </c>
      <c r="Y3" s="3" t="s">
        <v>38</v>
      </c>
    </row>
    <row r="4" s="14" customFormat="true" ht="12" hidden="false" customHeight="false" outlineLevel="0" collapsed="false">
      <c r="A4" s="3"/>
      <c r="B4" s="3"/>
      <c r="C4" s="3"/>
      <c r="D4" s="4"/>
      <c r="E4" s="3"/>
      <c r="F4" s="5"/>
      <c r="G4" s="6"/>
      <c r="H4" s="5"/>
      <c r="I4" s="7"/>
      <c r="J4" s="7"/>
      <c r="K4" s="8"/>
      <c r="L4" s="15" t="s">
        <v>39</v>
      </c>
      <c r="M4" s="14" t="s">
        <v>40</v>
      </c>
      <c r="N4" s="16" t="n">
        <v>43800000000000</v>
      </c>
      <c r="O4" s="17" t="n">
        <v>180000000000</v>
      </c>
      <c r="P4" s="13"/>
      <c r="Q4" s="3"/>
      <c r="R4" s="3"/>
      <c r="S4" s="6"/>
      <c r="T4" s="3"/>
      <c r="U4" s="3"/>
      <c r="V4" s="3"/>
      <c r="W4" s="3"/>
      <c r="X4" s="3"/>
      <c r="Y4" s="3" t="s">
        <v>41</v>
      </c>
    </row>
    <row r="5" s="14" customFormat="true" ht="12" hidden="false" customHeight="true" outlineLevel="0" collapsed="false">
      <c r="A5" s="18" t="n">
        <v>2</v>
      </c>
      <c r="B5" s="18" t="s">
        <v>25</v>
      </c>
      <c r="C5" s="18" t="s">
        <v>26</v>
      </c>
      <c r="D5" s="19" t="n">
        <v>660949</v>
      </c>
      <c r="E5" s="18" t="s">
        <v>27</v>
      </c>
      <c r="F5" s="20" t="n">
        <v>44902</v>
      </c>
      <c r="G5" s="21" t="s">
        <v>28</v>
      </c>
      <c r="H5" s="20" t="s">
        <v>29</v>
      </c>
      <c r="I5" s="22" t="n">
        <v>44936</v>
      </c>
      <c r="J5" s="22" t="n">
        <v>44939</v>
      </c>
      <c r="K5" s="23" t="n">
        <f aca="false">I5-F5</f>
        <v>34</v>
      </c>
      <c r="L5" s="18" t="s">
        <v>30</v>
      </c>
      <c r="M5" s="24" t="s">
        <v>31</v>
      </c>
      <c r="N5" s="25" t="n">
        <v>41300000000000</v>
      </c>
      <c r="O5" s="26" t="n">
        <v>600000000</v>
      </c>
      <c r="P5" s="27" t="s">
        <v>32</v>
      </c>
      <c r="Q5" s="18" t="s">
        <v>33</v>
      </c>
      <c r="R5" s="18" t="s">
        <v>34</v>
      </c>
      <c r="S5" s="21" t="s">
        <v>28</v>
      </c>
      <c r="T5" s="18" t="s">
        <v>35</v>
      </c>
      <c r="U5" s="20" t="n">
        <v>44978</v>
      </c>
      <c r="V5" s="18" t="n">
        <f aca="false">DATEDIF(F5,U5,"d")</f>
        <v>76</v>
      </c>
      <c r="W5" s="18" t="s">
        <v>36</v>
      </c>
      <c r="X5" s="18" t="s">
        <v>37</v>
      </c>
      <c r="Y5" s="18" t="s">
        <v>42</v>
      </c>
    </row>
    <row r="6" s="14" customFormat="true" ht="12" hidden="false" customHeight="false" outlineLevel="0" collapsed="false">
      <c r="A6" s="18"/>
      <c r="B6" s="18"/>
      <c r="C6" s="18"/>
      <c r="D6" s="19"/>
      <c r="E6" s="18"/>
      <c r="F6" s="20"/>
      <c r="G6" s="21"/>
      <c r="H6" s="20"/>
      <c r="I6" s="22"/>
      <c r="J6" s="22"/>
      <c r="K6" s="23"/>
      <c r="L6" s="28" t="s">
        <v>39</v>
      </c>
      <c r="M6" s="29" t="s">
        <v>40</v>
      </c>
      <c r="N6" s="30" t="n">
        <v>43800000000000</v>
      </c>
      <c r="O6" s="31" t="n">
        <v>180000000000</v>
      </c>
      <c r="P6" s="27"/>
      <c r="Q6" s="18"/>
      <c r="R6" s="18"/>
      <c r="S6" s="21"/>
      <c r="T6" s="18"/>
      <c r="U6" s="18"/>
      <c r="V6" s="18"/>
      <c r="W6" s="18"/>
      <c r="X6" s="18"/>
      <c r="Y6" s="18" t="s">
        <v>41</v>
      </c>
    </row>
    <row r="7" s="41" customFormat="true" ht="24" hidden="false" customHeight="true" outlineLevel="0" collapsed="false">
      <c r="A7" s="32" t="n">
        <v>6</v>
      </c>
      <c r="B7" s="32" t="s">
        <v>43</v>
      </c>
      <c r="C7" s="32" t="s">
        <v>44</v>
      </c>
      <c r="D7" s="33" t="n">
        <v>648700</v>
      </c>
      <c r="E7" s="32" t="s">
        <v>45</v>
      </c>
      <c r="F7" s="34" t="n">
        <v>44806</v>
      </c>
      <c r="G7" s="35" t="s">
        <v>28</v>
      </c>
      <c r="H7" s="34" t="n">
        <v>44827</v>
      </c>
      <c r="I7" s="32" t="s">
        <v>29</v>
      </c>
      <c r="J7" s="32" t="s">
        <v>29</v>
      </c>
      <c r="K7" s="36" t="n">
        <f aca="false">H7-F7</f>
        <v>21</v>
      </c>
      <c r="L7" s="9" t="s">
        <v>30</v>
      </c>
      <c r="M7" s="37" t="s">
        <v>31</v>
      </c>
      <c r="N7" s="38" t="n">
        <v>41300000000000</v>
      </c>
      <c r="O7" s="39" t="n">
        <v>3000000000</v>
      </c>
      <c r="P7" s="40" t="s">
        <v>32</v>
      </c>
      <c r="Q7" s="3" t="s">
        <v>33</v>
      </c>
      <c r="R7" s="32" t="s">
        <v>46</v>
      </c>
      <c r="S7" s="35" t="s">
        <v>28</v>
      </c>
      <c r="T7" s="3" t="s">
        <v>35</v>
      </c>
      <c r="U7" s="34" t="n">
        <v>44862</v>
      </c>
      <c r="V7" s="32" t="n">
        <f aca="false">DATEDIF(F7,U7,"d")</f>
        <v>56</v>
      </c>
      <c r="W7" s="32" t="s">
        <v>36</v>
      </c>
      <c r="X7" s="32" t="s">
        <v>47</v>
      </c>
      <c r="Y7" s="32"/>
    </row>
    <row r="8" s="41" customFormat="true" ht="24" hidden="false" customHeight="true" outlineLevel="0" collapsed="false">
      <c r="A8" s="32"/>
      <c r="B8" s="32"/>
      <c r="C8" s="32"/>
      <c r="D8" s="33"/>
      <c r="E8" s="32"/>
      <c r="F8" s="34"/>
      <c r="G8" s="35"/>
      <c r="H8" s="34"/>
      <c r="I8" s="32"/>
      <c r="J8" s="32"/>
      <c r="K8" s="36"/>
      <c r="L8" s="42" t="s">
        <v>48</v>
      </c>
      <c r="M8" s="43" t="s">
        <v>49</v>
      </c>
      <c r="N8" s="44" t="n">
        <v>19500000000000</v>
      </c>
      <c r="O8" s="45" t="n">
        <v>180000000000</v>
      </c>
      <c r="P8" s="40"/>
      <c r="Q8" s="3"/>
      <c r="R8" s="32"/>
      <c r="S8" s="35"/>
      <c r="T8" s="3"/>
      <c r="U8" s="34"/>
      <c r="V8" s="32"/>
      <c r="W8" s="32"/>
      <c r="X8" s="32"/>
      <c r="Y8" s="32"/>
    </row>
    <row r="9" customFormat="false" ht="15" hidden="false" customHeight="true" outlineLevel="0" collapsed="false">
      <c r="A9" s="32"/>
      <c r="B9" s="3"/>
      <c r="C9" s="3"/>
      <c r="D9" s="4"/>
      <c r="E9" s="3"/>
      <c r="F9" s="5"/>
      <c r="G9" s="6"/>
      <c r="H9" s="5"/>
      <c r="I9" s="7"/>
      <c r="J9" s="7"/>
      <c r="K9" s="8"/>
      <c r="L9" s="9"/>
      <c r="M9" s="10"/>
      <c r="N9" s="11"/>
      <c r="O9" s="12"/>
      <c r="P9" s="13"/>
      <c r="Q9" s="3"/>
      <c r="R9" s="3"/>
      <c r="S9" s="6"/>
      <c r="T9" s="3"/>
      <c r="U9" s="5"/>
      <c r="V9" s="3"/>
      <c r="W9" s="3"/>
      <c r="X9" s="3"/>
      <c r="Y9" s="3"/>
    </row>
    <row r="10" customFormat="false" ht="15" hidden="false" customHeight="true" outlineLevel="0" collapsed="false">
      <c r="A10" s="32"/>
      <c r="B10" s="3"/>
      <c r="C10" s="3"/>
      <c r="D10" s="4"/>
      <c r="E10" s="3"/>
      <c r="F10" s="5"/>
      <c r="G10" s="6"/>
      <c r="H10" s="5"/>
      <c r="I10" s="7"/>
      <c r="J10" s="7"/>
      <c r="K10" s="8"/>
      <c r="L10" s="15"/>
      <c r="M10" s="14"/>
      <c r="N10" s="16"/>
      <c r="O10" s="17"/>
      <c r="P10" s="13"/>
      <c r="Q10" s="3"/>
      <c r="R10" s="3"/>
      <c r="S10" s="6"/>
      <c r="T10" s="3"/>
      <c r="U10" s="3"/>
      <c r="V10" s="3"/>
      <c r="W10" s="3"/>
      <c r="X10" s="3"/>
      <c r="Y10" s="3"/>
    </row>
    <row r="11" customFormat="false" ht="15" hidden="false" customHeight="true" outlineLevel="0" collapsed="false">
      <c r="A11" s="32"/>
      <c r="B11" s="9"/>
      <c r="C11" s="9"/>
      <c r="D11" s="46"/>
      <c r="E11" s="9"/>
      <c r="F11" s="47"/>
      <c r="G11" s="48"/>
      <c r="H11" s="47"/>
      <c r="I11" s="49"/>
      <c r="J11" s="49"/>
      <c r="K11" s="50"/>
      <c r="L11" s="9"/>
      <c r="M11" s="10"/>
      <c r="N11" s="11"/>
      <c r="O11" s="12"/>
      <c r="P11" s="51"/>
      <c r="Q11" s="9"/>
      <c r="R11" s="9"/>
      <c r="S11" s="48"/>
      <c r="T11" s="9"/>
      <c r="U11" s="47"/>
      <c r="V11" s="9"/>
      <c r="W11" s="9"/>
      <c r="X11" s="9"/>
      <c r="Y11" s="9"/>
    </row>
    <row r="12" customFormat="false" ht="15" hidden="false" customHeight="true" outlineLevel="0" collapsed="false">
      <c r="A12" s="32"/>
      <c r="B12" s="9"/>
      <c r="C12" s="9"/>
      <c r="D12" s="46"/>
      <c r="E12" s="9"/>
      <c r="F12" s="47"/>
      <c r="G12" s="48"/>
      <c r="H12" s="47"/>
      <c r="I12" s="49"/>
      <c r="J12" s="49"/>
      <c r="K12" s="50"/>
      <c r="L12" s="15"/>
      <c r="M12" s="14"/>
      <c r="N12" s="16"/>
      <c r="O12" s="52"/>
      <c r="P12" s="51"/>
      <c r="Q12" s="9"/>
      <c r="R12" s="9"/>
      <c r="S12" s="48"/>
      <c r="T12" s="9"/>
      <c r="U12" s="9"/>
      <c r="V12" s="9"/>
      <c r="W12" s="9"/>
      <c r="X12" s="9"/>
      <c r="Y12" s="9"/>
    </row>
    <row r="13" customFormat="false" ht="15" hidden="false" customHeight="true" outlineLevel="0" collapsed="false">
      <c r="A13" s="32"/>
      <c r="B13" s="32"/>
      <c r="C13" s="32"/>
      <c r="D13" s="33"/>
      <c r="E13" s="32"/>
      <c r="F13" s="34"/>
      <c r="G13" s="35"/>
      <c r="H13" s="34"/>
      <c r="I13" s="32"/>
      <c r="J13" s="32"/>
      <c r="K13" s="36"/>
      <c r="L13" s="9"/>
      <c r="M13" s="37"/>
      <c r="N13" s="38"/>
      <c r="O13" s="39"/>
      <c r="P13" s="40"/>
      <c r="Q13" s="3"/>
      <c r="R13" s="32"/>
      <c r="S13" s="35"/>
      <c r="T13" s="3"/>
      <c r="U13" s="34"/>
      <c r="V13" s="32"/>
      <c r="W13" s="32"/>
      <c r="X13" s="32"/>
      <c r="Y13" s="32"/>
    </row>
    <row r="14" customFormat="false" ht="15" hidden="false" customHeight="true" outlineLevel="0" collapsed="false">
      <c r="A14" s="32"/>
      <c r="B14" s="32"/>
      <c r="C14" s="32"/>
      <c r="D14" s="33"/>
      <c r="E14" s="32"/>
      <c r="F14" s="34"/>
      <c r="G14" s="35"/>
      <c r="H14" s="34"/>
      <c r="I14" s="32"/>
      <c r="J14" s="32"/>
      <c r="K14" s="36"/>
      <c r="L14" s="42"/>
      <c r="M14" s="43"/>
      <c r="N14" s="44"/>
      <c r="O14" s="45"/>
      <c r="P14" s="40"/>
      <c r="Q14" s="3"/>
      <c r="R14" s="32"/>
      <c r="S14" s="35"/>
      <c r="T14" s="3"/>
      <c r="U14" s="34"/>
      <c r="V14" s="32"/>
      <c r="W14" s="32"/>
      <c r="X14" s="32"/>
      <c r="Y14" s="32"/>
    </row>
    <row r="15" customFormat="false" ht="15" hidden="false" customHeight="true" outlineLevel="0" collapsed="false">
      <c r="A15" s="32"/>
      <c r="B15" s="3"/>
      <c r="C15" s="3"/>
      <c r="D15" s="4"/>
      <c r="E15" s="3"/>
      <c r="F15" s="5"/>
      <c r="G15" s="6"/>
      <c r="H15" s="5"/>
      <c r="I15" s="7"/>
      <c r="J15" s="7"/>
      <c r="K15" s="8"/>
      <c r="L15" s="9"/>
      <c r="M15" s="10"/>
      <c r="N15" s="11"/>
      <c r="O15" s="12"/>
      <c r="P15" s="13"/>
      <c r="Q15" s="3"/>
      <c r="R15" s="3"/>
      <c r="S15" s="6"/>
      <c r="T15" s="3"/>
      <c r="U15" s="5"/>
      <c r="V15" s="3"/>
      <c r="W15" s="3"/>
      <c r="X15" s="3"/>
      <c r="Y15" s="3"/>
    </row>
    <row r="16" customFormat="false" ht="15" hidden="false" customHeight="true" outlineLevel="0" collapsed="false">
      <c r="A16" s="32"/>
      <c r="B16" s="3"/>
      <c r="C16" s="3"/>
      <c r="D16" s="4"/>
      <c r="E16" s="3"/>
      <c r="F16" s="5"/>
      <c r="G16" s="6"/>
      <c r="H16" s="5"/>
      <c r="I16" s="7"/>
      <c r="J16" s="7"/>
      <c r="K16" s="8"/>
      <c r="L16" s="15"/>
      <c r="M16" s="14"/>
      <c r="N16" s="16"/>
      <c r="O16" s="17"/>
      <c r="P16" s="13"/>
      <c r="Q16" s="3"/>
      <c r="R16" s="3"/>
      <c r="S16" s="6"/>
      <c r="T16" s="3"/>
      <c r="U16" s="3"/>
      <c r="V16" s="3"/>
      <c r="W16" s="3"/>
      <c r="X16" s="3"/>
      <c r="Y16" s="3"/>
    </row>
    <row r="17" customFormat="false" ht="15" hidden="false" customHeight="true" outlineLevel="0" collapsed="false">
      <c r="A17" s="32"/>
      <c r="B17" s="9"/>
      <c r="C17" s="9"/>
      <c r="D17" s="46"/>
      <c r="E17" s="9"/>
      <c r="F17" s="47"/>
      <c r="G17" s="48"/>
      <c r="H17" s="47"/>
      <c r="I17" s="49"/>
      <c r="J17" s="49"/>
      <c r="K17" s="50"/>
      <c r="L17" s="9"/>
      <c r="M17" s="10"/>
      <c r="N17" s="11"/>
      <c r="O17" s="12"/>
      <c r="P17" s="51"/>
      <c r="Q17" s="9"/>
      <c r="R17" s="9"/>
      <c r="S17" s="48"/>
      <c r="T17" s="9"/>
      <c r="U17" s="47"/>
      <c r="V17" s="9"/>
      <c r="W17" s="9"/>
      <c r="X17" s="9"/>
      <c r="Y17" s="9"/>
    </row>
    <row r="18" customFormat="false" ht="15" hidden="false" customHeight="true" outlineLevel="0" collapsed="false">
      <c r="A18" s="32"/>
      <c r="B18" s="9"/>
      <c r="C18" s="9"/>
      <c r="D18" s="46"/>
      <c r="E18" s="9"/>
      <c r="F18" s="47"/>
      <c r="G18" s="48"/>
      <c r="H18" s="47"/>
      <c r="I18" s="49"/>
      <c r="J18" s="49"/>
      <c r="K18" s="50"/>
      <c r="L18" s="15"/>
      <c r="M18" s="14"/>
      <c r="N18" s="16"/>
      <c r="O18" s="52"/>
      <c r="P18" s="51"/>
      <c r="Q18" s="9"/>
      <c r="R18" s="9"/>
      <c r="S18" s="48"/>
      <c r="T18" s="9"/>
      <c r="U18" s="9"/>
      <c r="V18" s="9"/>
      <c r="W18" s="9"/>
      <c r="X18" s="9"/>
      <c r="Y18" s="9"/>
    </row>
    <row r="19" customFormat="false" ht="15" hidden="false" customHeight="true" outlineLevel="0" collapsed="false">
      <c r="A19" s="32"/>
      <c r="B19" s="32"/>
      <c r="C19" s="32"/>
      <c r="D19" s="33"/>
      <c r="E19" s="32"/>
      <c r="F19" s="34"/>
      <c r="G19" s="35"/>
      <c r="H19" s="34"/>
      <c r="I19" s="32"/>
      <c r="J19" s="32"/>
      <c r="K19" s="36"/>
      <c r="L19" s="9"/>
      <c r="M19" s="37"/>
      <c r="N19" s="38"/>
      <c r="O19" s="39"/>
      <c r="P19" s="40"/>
      <c r="Q19" s="3"/>
      <c r="R19" s="32"/>
      <c r="S19" s="35"/>
      <c r="T19" s="3"/>
      <c r="U19" s="34"/>
      <c r="V19" s="32"/>
      <c r="W19" s="32"/>
      <c r="X19" s="32"/>
      <c r="Y19" s="32"/>
    </row>
    <row r="20" customFormat="false" ht="15" hidden="false" customHeight="true" outlineLevel="0" collapsed="false">
      <c r="A20" s="32"/>
      <c r="B20" s="32"/>
      <c r="C20" s="32"/>
      <c r="D20" s="33"/>
      <c r="E20" s="32"/>
      <c r="F20" s="34"/>
      <c r="G20" s="35"/>
      <c r="H20" s="34"/>
      <c r="I20" s="32"/>
      <c r="J20" s="32"/>
      <c r="K20" s="36"/>
      <c r="L20" s="42"/>
      <c r="M20" s="43"/>
      <c r="N20" s="44"/>
      <c r="O20" s="45"/>
      <c r="P20" s="40"/>
      <c r="Q20" s="3"/>
      <c r="R20" s="32"/>
      <c r="S20" s="35"/>
      <c r="T20" s="3"/>
      <c r="U20" s="34"/>
      <c r="V20" s="32"/>
      <c r="W20" s="32"/>
      <c r="X20" s="32"/>
      <c r="Y20" s="32"/>
    </row>
    <row r="21" customFormat="false" ht="15" hidden="false" customHeight="true" outlineLevel="0" collapsed="false">
      <c r="A21" s="32"/>
      <c r="B21" s="3"/>
      <c r="C21" s="3"/>
      <c r="D21" s="4"/>
      <c r="E21" s="3"/>
      <c r="F21" s="5"/>
      <c r="G21" s="6"/>
      <c r="H21" s="5"/>
      <c r="I21" s="7"/>
      <c r="J21" s="7"/>
      <c r="K21" s="8"/>
      <c r="L21" s="9"/>
      <c r="M21" s="10"/>
      <c r="N21" s="11"/>
      <c r="O21" s="12"/>
      <c r="P21" s="13"/>
      <c r="Q21" s="3"/>
      <c r="R21" s="3"/>
      <c r="S21" s="6"/>
      <c r="T21" s="3"/>
      <c r="U21" s="5"/>
      <c r="V21" s="3"/>
      <c r="W21" s="3"/>
      <c r="X21" s="3"/>
      <c r="Y21" s="3"/>
    </row>
    <row r="22" customFormat="false" ht="15" hidden="false" customHeight="true" outlineLevel="0" collapsed="false">
      <c r="A22" s="32"/>
      <c r="B22" s="3"/>
      <c r="C22" s="3"/>
      <c r="D22" s="4"/>
      <c r="E22" s="3"/>
      <c r="F22" s="5"/>
      <c r="G22" s="6"/>
      <c r="H22" s="5"/>
      <c r="I22" s="7"/>
      <c r="J22" s="7"/>
      <c r="K22" s="8"/>
      <c r="L22" s="15"/>
      <c r="M22" s="14"/>
      <c r="N22" s="16"/>
      <c r="O22" s="17"/>
      <c r="P22" s="13"/>
      <c r="Q22" s="3"/>
      <c r="R22" s="3"/>
      <c r="S22" s="6"/>
      <c r="T22" s="3"/>
      <c r="U22" s="3"/>
      <c r="V22" s="3"/>
      <c r="W22" s="3"/>
      <c r="X22" s="3"/>
      <c r="Y22" s="3"/>
    </row>
    <row r="23" customFormat="false" ht="15" hidden="false" customHeight="true" outlineLevel="0" collapsed="false">
      <c r="A23" s="32"/>
      <c r="B23" s="9"/>
      <c r="C23" s="9"/>
      <c r="D23" s="46"/>
      <c r="E23" s="9"/>
      <c r="F23" s="47"/>
      <c r="G23" s="48"/>
      <c r="H23" s="47"/>
      <c r="I23" s="49"/>
      <c r="J23" s="49"/>
      <c r="K23" s="50"/>
      <c r="L23" s="9"/>
      <c r="M23" s="10"/>
      <c r="N23" s="11"/>
      <c r="O23" s="12"/>
      <c r="P23" s="51"/>
      <c r="Q23" s="9"/>
      <c r="R23" s="9"/>
      <c r="S23" s="48"/>
      <c r="T23" s="9"/>
      <c r="U23" s="47"/>
      <c r="V23" s="9"/>
      <c r="W23" s="9"/>
      <c r="X23" s="9"/>
      <c r="Y23" s="9"/>
    </row>
    <row r="24" customFormat="false" ht="15" hidden="false" customHeight="true" outlineLevel="0" collapsed="false">
      <c r="A24" s="32"/>
      <c r="B24" s="9"/>
      <c r="C24" s="9"/>
      <c r="D24" s="46"/>
      <c r="E24" s="9"/>
      <c r="F24" s="47"/>
      <c r="G24" s="48"/>
      <c r="H24" s="47"/>
      <c r="I24" s="49"/>
      <c r="J24" s="49"/>
      <c r="K24" s="50"/>
      <c r="L24" s="15"/>
      <c r="M24" s="14"/>
      <c r="N24" s="16"/>
      <c r="O24" s="52"/>
      <c r="P24" s="51"/>
      <c r="Q24" s="9"/>
      <c r="R24" s="9"/>
      <c r="S24" s="48"/>
      <c r="T24" s="9"/>
      <c r="U24" s="9"/>
      <c r="V24" s="9"/>
      <c r="W24" s="9"/>
      <c r="X24" s="9"/>
      <c r="Y24" s="9"/>
    </row>
    <row r="25" customFormat="false" ht="15" hidden="false" customHeight="true" outlineLevel="0" collapsed="false">
      <c r="A25" s="32"/>
      <c r="B25" s="32"/>
      <c r="C25" s="32"/>
      <c r="D25" s="33"/>
      <c r="E25" s="32"/>
      <c r="F25" s="34"/>
      <c r="G25" s="35"/>
      <c r="H25" s="34"/>
      <c r="I25" s="32"/>
      <c r="J25" s="32"/>
      <c r="K25" s="36"/>
      <c r="L25" s="9"/>
      <c r="M25" s="37"/>
      <c r="N25" s="38"/>
      <c r="O25" s="39"/>
      <c r="P25" s="40"/>
      <c r="Q25" s="3"/>
      <c r="R25" s="32"/>
      <c r="S25" s="35"/>
      <c r="T25" s="3"/>
      <c r="U25" s="34"/>
      <c r="V25" s="32"/>
      <c r="W25" s="32"/>
      <c r="X25" s="32"/>
      <c r="Y25" s="32"/>
    </row>
    <row r="26" customFormat="false" ht="15" hidden="false" customHeight="true" outlineLevel="0" collapsed="false">
      <c r="A26" s="32"/>
      <c r="B26" s="32"/>
      <c r="C26" s="32"/>
      <c r="D26" s="33"/>
      <c r="E26" s="32"/>
      <c r="F26" s="34"/>
      <c r="G26" s="35"/>
      <c r="H26" s="34"/>
      <c r="I26" s="32"/>
      <c r="J26" s="32"/>
      <c r="K26" s="36"/>
      <c r="L26" s="42"/>
      <c r="M26" s="43"/>
      <c r="N26" s="44"/>
      <c r="O26" s="45"/>
      <c r="P26" s="40"/>
      <c r="Q26" s="3"/>
      <c r="R26" s="32"/>
      <c r="S26" s="35"/>
      <c r="T26" s="3"/>
      <c r="U26" s="34"/>
      <c r="V26" s="32"/>
      <c r="W26" s="32"/>
      <c r="X26" s="32"/>
      <c r="Y26" s="32"/>
    </row>
    <row r="27" customFormat="false" ht="15" hidden="false" customHeight="true" outlineLevel="0" collapsed="false">
      <c r="A27" s="32"/>
      <c r="B27" s="3"/>
      <c r="C27" s="3"/>
      <c r="D27" s="4"/>
      <c r="E27" s="3"/>
      <c r="F27" s="5"/>
      <c r="G27" s="6"/>
      <c r="H27" s="5"/>
      <c r="I27" s="7"/>
      <c r="J27" s="7"/>
      <c r="K27" s="8"/>
      <c r="L27" s="9"/>
      <c r="M27" s="10"/>
      <c r="N27" s="11"/>
      <c r="O27" s="12"/>
      <c r="P27" s="13"/>
      <c r="Q27" s="3"/>
      <c r="R27" s="3"/>
      <c r="S27" s="6"/>
      <c r="T27" s="3"/>
      <c r="U27" s="5"/>
      <c r="V27" s="3"/>
      <c r="W27" s="3"/>
      <c r="X27" s="3"/>
      <c r="Y27" s="3"/>
    </row>
    <row r="28" customFormat="false" ht="15" hidden="false" customHeight="true" outlineLevel="0" collapsed="false">
      <c r="A28" s="32"/>
      <c r="B28" s="3"/>
      <c r="C28" s="3"/>
      <c r="D28" s="4"/>
      <c r="E28" s="3"/>
      <c r="F28" s="5"/>
      <c r="G28" s="6"/>
      <c r="H28" s="5"/>
      <c r="I28" s="7"/>
      <c r="J28" s="7"/>
      <c r="K28" s="8"/>
      <c r="L28" s="15"/>
      <c r="M28" s="14"/>
      <c r="N28" s="16"/>
      <c r="O28" s="17"/>
      <c r="P28" s="13"/>
      <c r="Q28" s="3"/>
      <c r="R28" s="3"/>
      <c r="S28" s="6"/>
      <c r="T28" s="3"/>
      <c r="U28" s="3"/>
      <c r="V28" s="3"/>
      <c r="W28" s="3"/>
      <c r="X28" s="3"/>
      <c r="Y28" s="3"/>
    </row>
    <row r="29" customFormat="false" ht="15" hidden="false" customHeight="true" outlineLevel="0" collapsed="false">
      <c r="A29" s="32"/>
      <c r="B29" s="9"/>
      <c r="C29" s="9"/>
      <c r="D29" s="46"/>
      <c r="E29" s="9"/>
      <c r="F29" s="47"/>
      <c r="G29" s="48"/>
      <c r="H29" s="47"/>
      <c r="I29" s="49"/>
      <c r="J29" s="49"/>
      <c r="K29" s="50"/>
      <c r="L29" s="9"/>
      <c r="M29" s="10"/>
      <c r="N29" s="11"/>
      <c r="O29" s="12"/>
      <c r="P29" s="51"/>
      <c r="Q29" s="9"/>
      <c r="R29" s="9"/>
      <c r="S29" s="48"/>
      <c r="T29" s="9"/>
      <c r="U29" s="47"/>
      <c r="V29" s="9"/>
      <c r="W29" s="9"/>
      <c r="X29" s="9"/>
      <c r="Y29" s="9"/>
    </row>
    <row r="30" customFormat="false" ht="15" hidden="false" customHeight="true" outlineLevel="0" collapsed="false">
      <c r="A30" s="32"/>
      <c r="B30" s="9"/>
      <c r="C30" s="9"/>
      <c r="D30" s="46"/>
      <c r="E30" s="9"/>
      <c r="F30" s="47"/>
      <c r="G30" s="48"/>
      <c r="H30" s="47"/>
      <c r="I30" s="49"/>
      <c r="J30" s="49"/>
      <c r="K30" s="50"/>
      <c r="L30" s="15"/>
      <c r="M30" s="14"/>
      <c r="N30" s="16"/>
      <c r="O30" s="52"/>
      <c r="P30" s="51"/>
      <c r="Q30" s="9"/>
      <c r="R30" s="9"/>
      <c r="S30" s="48"/>
      <c r="T30" s="9"/>
      <c r="U30" s="9"/>
      <c r="V30" s="9"/>
      <c r="W30" s="9"/>
      <c r="X30" s="9"/>
      <c r="Y30" s="9"/>
    </row>
    <row r="31" customFormat="false" ht="15" hidden="false" customHeight="true" outlineLevel="0" collapsed="false">
      <c r="A31" s="32"/>
      <c r="B31" s="32"/>
      <c r="C31" s="32"/>
      <c r="D31" s="33"/>
      <c r="E31" s="32"/>
      <c r="F31" s="34"/>
      <c r="G31" s="35"/>
      <c r="H31" s="34"/>
      <c r="I31" s="32"/>
      <c r="J31" s="32"/>
      <c r="K31" s="36"/>
      <c r="L31" s="9"/>
      <c r="M31" s="37"/>
      <c r="N31" s="38"/>
      <c r="O31" s="39"/>
      <c r="P31" s="40"/>
      <c r="Q31" s="3"/>
      <c r="R31" s="32"/>
      <c r="S31" s="35"/>
      <c r="T31" s="3"/>
      <c r="U31" s="34"/>
      <c r="V31" s="32"/>
      <c r="W31" s="32"/>
      <c r="X31" s="32"/>
      <c r="Y31" s="32"/>
    </row>
    <row r="32" customFormat="false" ht="15" hidden="false" customHeight="true" outlineLevel="0" collapsed="false">
      <c r="A32" s="32"/>
      <c r="B32" s="32"/>
      <c r="C32" s="32"/>
      <c r="D32" s="33"/>
      <c r="E32" s="32"/>
      <c r="F32" s="34"/>
      <c r="G32" s="35"/>
      <c r="H32" s="34"/>
      <c r="I32" s="32"/>
      <c r="J32" s="32"/>
      <c r="K32" s="36"/>
      <c r="L32" s="42"/>
      <c r="M32" s="43"/>
      <c r="N32" s="44"/>
      <c r="O32" s="45"/>
      <c r="P32" s="40"/>
      <c r="Q32" s="3"/>
      <c r="R32" s="32"/>
      <c r="S32" s="35"/>
      <c r="T32" s="3"/>
      <c r="U32" s="34"/>
      <c r="V32" s="32"/>
      <c r="W32" s="32"/>
      <c r="X32" s="32"/>
      <c r="Y32" s="32"/>
    </row>
    <row r="34" customFormat="false" ht="15" hidden="false" customHeight="false" outlineLevel="0" collapsed="false">
      <c r="B34" s="53" t="s">
        <v>50</v>
      </c>
      <c r="C34" s="0" t="s">
        <v>51</v>
      </c>
    </row>
    <row r="35" customFormat="false" ht="15" hidden="false" customHeight="false" outlineLevel="0" collapsed="false">
      <c r="B35" s="54" t="s">
        <v>52</v>
      </c>
      <c r="C35" s="0" t="s">
        <v>53</v>
      </c>
    </row>
    <row r="36" customFormat="false" ht="15" hidden="false" customHeight="false" outlineLevel="0" collapsed="false">
      <c r="B36" s="55" t="s">
        <v>54</v>
      </c>
      <c r="C36" s="55"/>
    </row>
    <row r="37" customFormat="false" ht="15" hidden="false" customHeight="false" outlineLevel="0" collapsed="false">
      <c r="B37" s="56" t="s">
        <v>55</v>
      </c>
      <c r="C37" s="56"/>
    </row>
  </sheetData>
  <mergeCells count="315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8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R5" activeCellId="0" sqref="R5"/>
    </sheetView>
  </sheetViews>
  <sheetFormatPr defaultColWidth="15.01953125" defaultRowHeight="15" zeroHeight="false" outlineLevelRow="0" outlineLevelCol="0"/>
  <cols>
    <col collapsed="false" customWidth="true" hidden="false" outlineLevel="0" max="2" min="2" style="0" width="13.29"/>
    <col collapsed="false" customWidth="true" hidden="false" outlineLevel="0" max="3" min="3" style="0" width="20.29"/>
    <col collapsed="false" customWidth="true" hidden="false" outlineLevel="0" max="5" min="5" style="0" width="4.43"/>
    <col collapsed="false" customWidth="true" hidden="false" outlineLevel="0" max="6" min="6" style="0" width="9.71"/>
    <col collapsed="false" customWidth="true" hidden="false" outlineLevel="0" max="12" min="12" style="0" width="36.85"/>
    <col collapsed="false" customWidth="true" hidden="false" outlineLevel="0" max="13" min="13" style="0" width="11.42"/>
    <col collapsed="false" customWidth="true" hidden="false" outlineLevel="0" max="14" min="14" style="0" width="13.43"/>
    <col collapsed="false" customWidth="true" hidden="false" outlineLevel="0" max="16" min="16" style="0" width="8.71"/>
  </cols>
  <sheetData>
    <row r="1" s="57" customFormat="true" ht="4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4" customFormat="true" ht="15.75" hidden="false" customHeight="false" outlineLevel="0" collapsed="false">
      <c r="D2" s="57"/>
      <c r="L2" s="58"/>
      <c r="M2" s="58"/>
      <c r="N2" s="58"/>
    </row>
    <row r="3" s="14" customFormat="true" ht="15" hidden="false" customHeight="true" outlineLevel="0" collapsed="false">
      <c r="A3" s="3" t="n">
        <v>1</v>
      </c>
      <c r="B3" s="59"/>
      <c r="C3" s="3" t="s">
        <v>56</v>
      </c>
      <c r="D3" s="60" t="n">
        <v>650008</v>
      </c>
      <c r="E3" s="3" t="s">
        <v>27</v>
      </c>
      <c r="F3" s="5" t="n">
        <v>44817</v>
      </c>
      <c r="G3" s="6" t="s">
        <v>28</v>
      </c>
      <c r="H3" s="5" t="n">
        <v>44838</v>
      </c>
      <c r="I3" s="7"/>
      <c r="J3" s="7"/>
      <c r="K3" s="8" t="n">
        <f aca="false">H3-F3</f>
        <v>21</v>
      </c>
      <c r="L3" s="61" t="s">
        <v>57</v>
      </c>
      <c r="M3" s="62" t="s">
        <v>31</v>
      </c>
      <c r="N3" s="63" t="n">
        <v>41300000000000</v>
      </c>
      <c r="O3" s="63" t="n">
        <v>3000000000</v>
      </c>
      <c r="P3" s="13" t="s">
        <v>32</v>
      </c>
      <c r="Q3" s="3" t="s">
        <v>33</v>
      </c>
      <c r="R3" s="3" t="s">
        <v>36</v>
      </c>
      <c r="S3" s="6" t="s">
        <v>28</v>
      </c>
      <c r="T3" s="3" t="s">
        <v>35</v>
      </c>
      <c r="U3" s="5" t="n">
        <v>44882</v>
      </c>
      <c r="V3" s="3" t="n">
        <f aca="false">U3-F3</f>
        <v>65</v>
      </c>
      <c r="W3" s="3"/>
      <c r="X3" s="3"/>
      <c r="Y3" s="3" t="s">
        <v>58</v>
      </c>
    </row>
    <row r="4" s="14" customFormat="true" ht="15" hidden="false" customHeight="true" outlineLevel="0" collapsed="false">
      <c r="A4" s="3"/>
      <c r="B4" s="59"/>
      <c r="C4" s="3"/>
      <c r="D4" s="60"/>
      <c r="E4" s="3"/>
      <c r="F4" s="5"/>
      <c r="G4" s="6"/>
      <c r="H4" s="5"/>
      <c r="I4" s="7"/>
      <c r="J4" s="7"/>
      <c r="K4" s="8"/>
      <c r="L4" s="64" t="s">
        <v>48</v>
      </c>
      <c r="M4" s="65" t="s">
        <v>49</v>
      </c>
      <c r="N4" s="66" t="n">
        <v>19000000000000</v>
      </c>
      <c r="O4" s="66" t="n">
        <v>180000000000</v>
      </c>
      <c r="P4" s="13"/>
      <c r="Q4" s="3"/>
      <c r="R4" s="3"/>
      <c r="S4" s="6"/>
      <c r="T4" s="3"/>
      <c r="U4" s="5"/>
      <c r="V4" s="3"/>
      <c r="W4" s="3"/>
      <c r="X4" s="3"/>
      <c r="Y4" s="3"/>
    </row>
    <row r="5" s="14" customFormat="true" ht="15" hidden="false" customHeight="true" outlineLevel="0" collapsed="false">
      <c r="A5" s="9" t="n">
        <v>2</v>
      </c>
      <c r="B5" s="3"/>
      <c r="C5" s="3" t="s">
        <v>56</v>
      </c>
      <c r="D5" s="60" t="n">
        <v>650009</v>
      </c>
      <c r="E5" s="3" t="s">
        <v>27</v>
      </c>
      <c r="F5" s="5" t="n">
        <v>44817</v>
      </c>
      <c r="G5" s="6" t="s">
        <v>28</v>
      </c>
      <c r="H5" s="5" t="n">
        <v>44838</v>
      </c>
      <c r="I5" s="67"/>
      <c r="J5" s="67"/>
      <c r="K5" s="8" t="n">
        <f aca="false">H5-F5</f>
        <v>21</v>
      </c>
      <c r="L5" s="61" t="s">
        <v>57</v>
      </c>
      <c r="M5" s="62" t="s">
        <v>31</v>
      </c>
      <c r="N5" s="63" t="n">
        <v>41300000000000</v>
      </c>
      <c r="O5" s="63" t="n">
        <v>3000000000</v>
      </c>
      <c r="P5" s="3" t="s">
        <v>32</v>
      </c>
      <c r="Q5" s="3" t="s">
        <v>33</v>
      </c>
      <c r="R5" s="3" t="s">
        <v>59</v>
      </c>
      <c r="S5" s="6" t="s">
        <v>28</v>
      </c>
      <c r="T5" s="3" t="s">
        <v>35</v>
      </c>
      <c r="U5" s="5" t="n">
        <v>44882</v>
      </c>
      <c r="V5" s="3" t="n">
        <f aca="false">U5-F5</f>
        <v>65</v>
      </c>
      <c r="W5" s="3"/>
      <c r="X5" s="9"/>
      <c r="Y5" s="9" t="s">
        <v>58</v>
      </c>
    </row>
    <row r="6" s="14" customFormat="true" ht="15" hidden="false" customHeight="true" outlineLevel="0" collapsed="false">
      <c r="A6" s="9"/>
      <c r="B6" s="3"/>
      <c r="C6" s="3"/>
      <c r="D6" s="60"/>
      <c r="E6" s="3"/>
      <c r="F6" s="5"/>
      <c r="G6" s="6"/>
      <c r="H6" s="5"/>
      <c r="I6" s="67"/>
      <c r="J6" s="67"/>
      <c r="K6" s="8"/>
      <c r="L6" s="64" t="s">
        <v>48</v>
      </c>
      <c r="M6" s="65" t="s">
        <v>49</v>
      </c>
      <c r="N6" s="66" t="n">
        <v>19000000000000</v>
      </c>
      <c r="O6" s="66" t="n">
        <v>180000000000</v>
      </c>
      <c r="P6" s="3"/>
      <c r="Q6" s="3"/>
      <c r="R6" s="3"/>
      <c r="S6" s="6"/>
      <c r="T6" s="3"/>
      <c r="U6" s="5"/>
      <c r="V6" s="3"/>
      <c r="W6" s="3"/>
      <c r="X6" s="9"/>
      <c r="Y6" s="9"/>
    </row>
    <row r="7" s="14" customFormat="true" ht="15" hidden="false" customHeight="true" outlineLevel="0" collapsed="false">
      <c r="A7" s="9" t="n">
        <v>3</v>
      </c>
      <c r="B7" s="3"/>
      <c r="C7" s="3" t="s">
        <v>56</v>
      </c>
      <c r="D7" s="60" t="n">
        <v>650010</v>
      </c>
      <c r="E7" s="3" t="s">
        <v>45</v>
      </c>
      <c r="F7" s="5" t="n">
        <v>44817</v>
      </c>
      <c r="G7" s="6" t="s">
        <v>28</v>
      </c>
      <c r="H7" s="5" t="n">
        <v>44838</v>
      </c>
      <c r="I7" s="67"/>
      <c r="J7" s="67"/>
      <c r="K7" s="8" t="n">
        <f aca="false">H7-F7</f>
        <v>21</v>
      </c>
      <c r="L7" s="61" t="s">
        <v>57</v>
      </c>
      <c r="M7" s="62" t="s">
        <v>31</v>
      </c>
      <c r="N7" s="63" t="n">
        <v>41300000000000</v>
      </c>
      <c r="O7" s="63" t="n">
        <v>3000000000</v>
      </c>
      <c r="P7" s="3" t="s">
        <v>32</v>
      </c>
      <c r="Q7" s="3" t="s">
        <v>33</v>
      </c>
      <c r="R7" s="3" t="s">
        <v>36</v>
      </c>
      <c r="S7" s="6" t="s">
        <v>28</v>
      </c>
      <c r="T7" s="3" t="s">
        <v>35</v>
      </c>
      <c r="U7" s="5" t="n">
        <v>44882</v>
      </c>
      <c r="V7" s="3" t="n">
        <f aca="false">U7-F7</f>
        <v>65</v>
      </c>
      <c r="W7" s="3"/>
      <c r="X7" s="9"/>
      <c r="Y7" s="9" t="s">
        <v>58</v>
      </c>
    </row>
    <row r="8" s="14" customFormat="true" ht="15" hidden="false" customHeight="true" outlineLevel="0" collapsed="false">
      <c r="A8" s="9"/>
      <c r="B8" s="3"/>
      <c r="C8" s="3"/>
      <c r="D8" s="60"/>
      <c r="E8" s="3"/>
      <c r="F8" s="5"/>
      <c r="G8" s="6"/>
      <c r="H8" s="5"/>
      <c r="I8" s="67"/>
      <c r="J8" s="67"/>
      <c r="K8" s="8"/>
      <c r="L8" s="64" t="s">
        <v>48</v>
      </c>
      <c r="M8" s="65" t="s">
        <v>49</v>
      </c>
      <c r="N8" s="66" t="n">
        <v>19000000000000</v>
      </c>
      <c r="O8" s="66" t="n">
        <v>180000000000</v>
      </c>
      <c r="P8" s="3"/>
      <c r="Q8" s="3"/>
      <c r="R8" s="3"/>
      <c r="S8" s="6"/>
      <c r="T8" s="3"/>
      <c r="U8" s="5"/>
      <c r="V8" s="3"/>
      <c r="W8" s="3"/>
      <c r="X8" s="9"/>
      <c r="Y8" s="9"/>
    </row>
    <row r="9" s="14" customFormat="true" ht="15" hidden="false" customHeight="true" outlineLevel="0" collapsed="false">
      <c r="A9" s="9" t="n">
        <v>4</v>
      </c>
      <c r="B9" s="3"/>
      <c r="C9" s="3" t="s">
        <v>56</v>
      </c>
      <c r="D9" s="60" t="n">
        <v>650011</v>
      </c>
      <c r="E9" s="3" t="s">
        <v>45</v>
      </c>
      <c r="F9" s="5" t="n">
        <v>44817</v>
      </c>
      <c r="G9" s="6" t="s">
        <v>28</v>
      </c>
      <c r="H9" s="5" t="n">
        <v>44838</v>
      </c>
      <c r="I9" s="67"/>
      <c r="J9" s="67"/>
      <c r="K9" s="8" t="n">
        <f aca="false">H9-F9</f>
        <v>21</v>
      </c>
      <c r="L9" s="61" t="s">
        <v>57</v>
      </c>
      <c r="M9" s="62" t="s">
        <v>31</v>
      </c>
      <c r="N9" s="63" t="n">
        <v>41300000000000</v>
      </c>
      <c r="O9" s="63" t="n">
        <v>3000000000</v>
      </c>
      <c r="P9" s="3" t="s">
        <v>32</v>
      </c>
      <c r="Q9" s="3" t="s">
        <v>33</v>
      </c>
      <c r="R9" s="3" t="s">
        <v>36</v>
      </c>
      <c r="S9" s="6" t="s">
        <v>28</v>
      </c>
      <c r="T9" s="3" t="s">
        <v>35</v>
      </c>
      <c r="U9" s="5" t="n">
        <v>44882</v>
      </c>
      <c r="V9" s="3" t="n">
        <f aca="false">U9-F9</f>
        <v>65</v>
      </c>
      <c r="W9" s="3"/>
      <c r="X9" s="9"/>
      <c r="Y9" s="9" t="s">
        <v>58</v>
      </c>
    </row>
    <row r="10" s="14" customFormat="true" ht="15" hidden="false" customHeight="true" outlineLevel="0" collapsed="false">
      <c r="A10" s="9"/>
      <c r="B10" s="3"/>
      <c r="C10" s="3"/>
      <c r="D10" s="60"/>
      <c r="E10" s="3"/>
      <c r="F10" s="5"/>
      <c r="G10" s="6"/>
      <c r="H10" s="5"/>
      <c r="I10" s="67"/>
      <c r="J10" s="67"/>
      <c r="K10" s="8"/>
      <c r="L10" s="64" t="s">
        <v>48</v>
      </c>
      <c r="M10" s="65" t="s">
        <v>49</v>
      </c>
      <c r="N10" s="66" t="n">
        <v>19000000000000</v>
      </c>
      <c r="O10" s="66" t="n">
        <v>180000000000</v>
      </c>
      <c r="P10" s="3"/>
      <c r="Q10" s="3"/>
      <c r="R10" s="3"/>
      <c r="S10" s="6"/>
      <c r="T10" s="3"/>
      <c r="U10" s="5"/>
      <c r="V10" s="3"/>
      <c r="W10" s="3"/>
      <c r="X10" s="9"/>
      <c r="Y10" s="9"/>
    </row>
    <row r="11" s="14" customFormat="true" ht="15" hidden="false" customHeight="true" outlineLevel="0" collapsed="false">
      <c r="A11" s="9" t="n">
        <v>5</v>
      </c>
      <c r="B11" s="3"/>
      <c r="C11" s="3" t="s">
        <v>56</v>
      </c>
      <c r="D11" s="68" t="n">
        <v>667241</v>
      </c>
      <c r="E11" s="3" t="s">
        <v>27</v>
      </c>
      <c r="F11" s="5" t="n">
        <v>44953</v>
      </c>
      <c r="G11" s="6" t="s">
        <v>28</v>
      </c>
      <c r="H11" s="5" t="n">
        <v>44988</v>
      </c>
      <c r="I11" s="67"/>
      <c r="J11" s="67"/>
      <c r="K11" s="8" t="n">
        <f aca="false">H11-F11</f>
        <v>35</v>
      </c>
      <c r="L11" s="9" t="s">
        <v>30</v>
      </c>
      <c r="M11" s="51" t="s">
        <v>31</v>
      </c>
      <c r="N11" s="12" t="n">
        <v>41300000000000</v>
      </c>
      <c r="O11" s="69" t="n">
        <v>6000000000</v>
      </c>
      <c r="P11" s="3" t="s">
        <v>32</v>
      </c>
      <c r="Q11" s="3" t="s">
        <v>33</v>
      </c>
      <c r="R11" s="3" t="s">
        <v>36</v>
      </c>
      <c r="S11" s="6" t="s">
        <v>28</v>
      </c>
      <c r="T11" s="3" t="s">
        <v>35</v>
      </c>
      <c r="U11" s="5" t="n">
        <v>45023</v>
      </c>
      <c r="V11" s="3" t="n">
        <f aca="false">U11-F11</f>
        <v>70</v>
      </c>
      <c r="W11" s="3"/>
      <c r="X11" s="9"/>
      <c r="Y11" s="9" t="s">
        <v>58</v>
      </c>
    </row>
    <row r="12" s="14" customFormat="true" ht="15" hidden="false" customHeight="true" outlineLevel="0" collapsed="false">
      <c r="A12" s="9"/>
      <c r="B12" s="3"/>
      <c r="C12" s="3"/>
      <c r="D12" s="68"/>
      <c r="E12" s="3"/>
      <c r="F12" s="5"/>
      <c r="G12" s="6"/>
      <c r="H12" s="5"/>
      <c r="I12" s="67"/>
      <c r="J12" s="67"/>
      <c r="K12" s="8"/>
      <c r="L12" s="15" t="s">
        <v>60</v>
      </c>
      <c r="M12" s="58" t="s">
        <v>61</v>
      </c>
      <c r="N12" s="17" t="n">
        <v>12500000000000</v>
      </c>
      <c r="O12" s="70" t="n">
        <v>180000000000</v>
      </c>
      <c r="P12" s="3"/>
      <c r="Q12" s="3"/>
      <c r="R12" s="3"/>
      <c r="S12" s="6"/>
      <c r="T12" s="3"/>
      <c r="U12" s="5"/>
      <c r="V12" s="3"/>
      <c r="W12" s="3"/>
      <c r="X12" s="9"/>
      <c r="Y12" s="9"/>
    </row>
    <row r="13" s="14" customFormat="true" ht="15" hidden="false" customHeight="true" outlineLevel="0" collapsed="false">
      <c r="A13" s="9" t="n">
        <v>6</v>
      </c>
      <c r="B13" s="3"/>
      <c r="C13" s="3" t="s">
        <v>56</v>
      </c>
      <c r="D13" s="68" t="n">
        <v>667242</v>
      </c>
      <c r="E13" s="3" t="s">
        <v>27</v>
      </c>
      <c r="F13" s="5" t="n">
        <v>44953</v>
      </c>
      <c r="G13" s="6" t="s">
        <v>28</v>
      </c>
      <c r="H13" s="5" t="n">
        <v>44988</v>
      </c>
      <c r="I13" s="67"/>
      <c r="J13" s="67"/>
      <c r="K13" s="8" t="n">
        <f aca="false">H13-F13</f>
        <v>35</v>
      </c>
      <c r="L13" s="9" t="s">
        <v>30</v>
      </c>
      <c r="M13" s="51" t="s">
        <v>31</v>
      </c>
      <c r="N13" s="12" t="n">
        <v>41300000000000</v>
      </c>
      <c r="O13" s="69" t="n">
        <v>6000000000</v>
      </c>
      <c r="P13" s="3" t="s">
        <v>32</v>
      </c>
      <c r="Q13" s="3" t="s">
        <v>33</v>
      </c>
      <c r="R13" s="3" t="s">
        <v>36</v>
      </c>
      <c r="S13" s="6" t="s">
        <v>28</v>
      </c>
      <c r="T13" s="3" t="s">
        <v>35</v>
      </c>
      <c r="U13" s="5" t="n">
        <v>45023</v>
      </c>
      <c r="V13" s="3" t="n">
        <f aca="false">U13-F13</f>
        <v>70</v>
      </c>
      <c r="W13" s="3"/>
      <c r="X13" s="9"/>
      <c r="Y13" s="9" t="s">
        <v>58</v>
      </c>
    </row>
    <row r="14" s="14" customFormat="true" ht="15" hidden="false" customHeight="true" outlineLevel="0" collapsed="false">
      <c r="A14" s="9"/>
      <c r="B14" s="3"/>
      <c r="C14" s="3"/>
      <c r="D14" s="68"/>
      <c r="E14" s="3"/>
      <c r="F14" s="5"/>
      <c r="G14" s="6"/>
      <c r="H14" s="5"/>
      <c r="I14" s="67"/>
      <c r="J14" s="67"/>
      <c r="K14" s="8"/>
      <c r="L14" s="71" t="s">
        <v>60</v>
      </c>
      <c r="M14" s="58" t="s">
        <v>61</v>
      </c>
      <c r="N14" s="17" t="n">
        <v>12500000000000</v>
      </c>
      <c r="O14" s="70" t="n">
        <v>180000000000</v>
      </c>
      <c r="P14" s="3"/>
      <c r="Q14" s="3"/>
      <c r="R14" s="3"/>
      <c r="S14" s="6"/>
      <c r="T14" s="3"/>
      <c r="U14" s="5"/>
      <c r="V14" s="3"/>
      <c r="W14" s="3"/>
      <c r="X14" s="9"/>
      <c r="Y14" s="9"/>
    </row>
    <row r="15" s="14" customFormat="true" ht="15" hidden="false" customHeight="true" outlineLevel="0" collapsed="false">
      <c r="A15" s="9" t="n">
        <v>7</v>
      </c>
      <c r="B15" s="3"/>
      <c r="C15" s="3" t="s">
        <v>56</v>
      </c>
      <c r="D15" s="68" t="n">
        <v>667244</v>
      </c>
      <c r="E15" s="3" t="s">
        <v>27</v>
      </c>
      <c r="F15" s="5" t="n">
        <v>44953</v>
      </c>
      <c r="G15" s="6" t="s">
        <v>28</v>
      </c>
      <c r="H15" s="5" t="n">
        <v>44988</v>
      </c>
      <c r="I15" s="67"/>
      <c r="J15" s="67"/>
      <c r="K15" s="8" t="n">
        <f aca="false">H15-F15</f>
        <v>35</v>
      </c>
      <c r="L15" s="72" t="s">
        <v>30</v>
      </c>
      <c r="M15" s="51" t="s">
        <v>31</v>
      </c>
      <c r="N15" s="12" t="n">
        <v>41300000000000</v>
      </c>
      <c r="O15" s="69" t="n">
        <v>6000000000</v>
      </c>
      <c r="P15" s="3" t="s">
        <v>32</v>
      </c>
      <c r="Q15" s="3" t="s">
        <v>33</v>
      </c>
      <c r="R15" s="3" t="s">
        <v>59</v>
      </c>
      <c r="S15" s="6" t="s">
        <v>28</v>
      </c>
      <c r="T15" s="3" t="s">
        <v>35</v>
      </c>
      <c r="U15" s="5" t="n">
        <v>45023</v>
      </c>
      <c r="V15" s="3" t="n">
        <f aca="false">U15-F15</f>
        <v>70</v>
      </c>
      <c r="W15" s="3"/>
      <c r="X15" s="9"/>
      <c r="Y15" s="9" t="s">
        <v>58</v>
      </c>
    </row>
    <row r="16" s="14" customFormat="true" ht="15" hidden="false" customHeight="true" outlineLevel="0" collapsed="false">
      <c r="A16" s="9"/>
      <c r="B16" s="3"/>
      <c r="C16" s="3"/>
      <c r="D16" s="68"/>
      <c r="E16" s="3"/>
      <c r="F16" s="5"/>
      <c r="G16" s="6"/>
      <c r="H16" s="5"/>
      <c r="I16" s="67"/>
      <c r="J16" s="67"/>
      <c r="K16" s="8"/>
      <c r="L16" s="71" t="s">
        <v>60</v>
      </c>
      <c r="M16" s="58" t="s">
        <v>61</v>
      </c>
      <c r="N16" s="17" t="n">
        <v>12500000000000</v>
      </c>
      <c r="O16" s="70" t="n">
        <v>180000000000</v>
      </c>
      <c r="P16" s="3"/>
      <c r="Q16" s="3"/>
      <c r="R16" s="3"/>
      <c r="S16" s="6"/>
      <c r="T16" s="3"/>
      <c r="U16" s="5"/>
      <c r="V16" s="3"/>
      <c r="W16" s="3"/>
      <c r="X16" s="9"/>
      <c r="Y16" s="9"/>
    </row>
    <row r="17" s="14" customFormat="true" ht="15" hidden="false" customHeight="true" outlineLevel="0" collapsed="false">
      <c r="A17" s="9" t="n">
        <v>8</v>
      </c>
      <c r="B17" s="3"/>
      <c r="C17" s="3" t="s">
        <v>56</v>
      </c>
      <c r="D17" s="68" t="n">
        <v>669528</v>
      </c>
      <c r="E17" s="3" t="s">
        <v>27</v>
      </c>
      <c r="F17" s="5" t="n">
        <v>44969</v>
      </c>
      <c r="G17" s="6" t="s">
        <v>28</v>
      </c>
      <c r="H17" s="5" t="n">
        <v>45005</v>
      </c>
      <c r="I17" s="67"/>
      <c r="J17" s="67"/>
      <c r="K17" s="8" t="n">
        <f aca="false">H17-F17</f>
        <v>36</v>
      </c>
      <c r="L17" s="9" t="s">
        <v>30</v>
      </c>
      <c r="M17" s="51" t="s">
        <v>31</v>
      </c>
      <c r="N17" s="69" t="n">
        <v>41300000000000</v>
      </c>
      <c r="O17" s="69" t="n">
        <v>100000000</v>
      </c>
      <c r="P17" s="3" t="s">
        <v>32</v>
      </c>
      <c r="Q17" s="3" t="s">
        <v>33</v>
      </c>
      <c r="R17" s="3" t="s">
        <v>36</v>
      </c>
      <c r="S17" s="6" t="s">
        <v>28</v>
      </c>
      <c r="T17" s="3" t="s">
        <v>35</v>
      </c>
      <c r="U17" s="5" t="n">
        <v>45040</v>
      </c>
      <c r="V17" s="3" t="n">
        <f aca="false">U17-F17</f>
        <v>71</v>
      </c>
      <c r="W17" s="3"/>
      <c r="X17" s="9"/>
      <c r="Y17" s="9" t="s">
        <v>58</v>
      </c>
    </row>
    <row r="18" s="14" customFormat="true" ht="15" hidden="false" customHeight="true" outlineLevel="0" collapsed="false">
      <c r="A18" s="9"/>
      <c r="B18" s="3"/>
      <c r="C18" s="3"/>
      <c r="D18" s="68"/>
      <c r="E18" s="3"/>
      <c r="F18" s="5"/>
      <c r="G18" s="6"/>
      <c r="H18" s="5"/>
      <c r="I18" s="67"/>
      <c r="J18" s="67"/>
      <c r="K18" s="8"/>
      <c r="L18" s="15" t="s">
        <v>60</v>
      </c>
      <c r="M18" s="58" t="s">
        <v>62</v>
      </c>
      <c r="N18" s="73" t="n">
        <v>47500000000000</v>
      </c>
      <c r="O18" s="70" t="n">
        <v>180000000000</v>
      </c>
      <c r="P18" s="3"/>
      <c r="Q18" s="3"/>
      <c r="R18" s="3"/>
      <c r="S18" s="6"/>
      <c r="T18" s="3"/>
      <c r="U18" s="5"/>
      <c r="V18" s="3"/>
      <c r="W18" s="3"/>
      <c r="X18" s="9"/>
      <c r="Y18" s="9"/>
    </row>
    <row r="19" s="14" customFormat="true" ht="15" hidden="false" customHeight="true" outlineLevel="0" collapsed="false">
      <c r="A19" s="9" t="n">
        <v>9</v>
      </c>
      <c r="B19" s="3"/>
      <c r="C19" s="3" t="s">
        <v>56</v>
      </c>
      <c r="D19" s="68" t="n">
        <v>669530</v>
      </c>
      <c r="E19" s="3" t="s">
        <v>27</v>
      </c>
      <c r="F19" s="5" t="n">
        <v>44969</v>
      </c>
      <c r="G19" s="6" t="s">
        <v>28</v>
      </c>
      <c r="H19" s="5" t="n">
        <v>45005</v>
      </c>
      <c r="I19" s="67"/>
      <c r="J19" s="67"/>
      <c r="K19" s="8" t="n">
        <f aca="false">H19-F19</f>
        <v>36</v>
      </c>
      <c r="L19" s="9" t="s">
        <v>30</v>
      </c>
      <c r="M19" s="51" t="s">
        <v>31</v>
      </c>
      <c r="N19" s="69" t="n">
        <v>41300000000000</v>
      </c>
      <c r="O19" s="69" t="n">
        <v>100000000</v>
      </c>
      <c r="P19" s="3" t="s">
        <v>32</v>
      </c>
      <c r="Q19" s="3" t="s">
        <v>33</v>
      </c>
      <c r="R19" s="3" t="s">
        <v>36</v>
      </c>
      <c r="S19" s="6" t="s">
        <v>28</v>
      </c>
      <c r="T19" s="3" t="s">
        <v>35</v>
      </c>
      <c r="U19" s="5" t="n">
        <v>45040</v>
      </c>
      <c r="V19" s="3" t="n">
        <f aca="false">U19-F19</f>
        <v>71</v>
      </c>
      <c r="W19" s="3"/>
      <c r="X19" s="9"/>
      <c r="Y19" s="9" t="s">
        <v>58</v>
      </c>
    </row>
    <row r="20" s="14" customFormat="true" ht="15" hidden="false" customHeight="true" outlineLevel="0" collapsed="false">
      <c r="A20" s="9"/>
      <c r="B20" s="3"/>
      <c r="C20" s="3"/>
      <c r="D20" s="68"/>
      <c r="E20" s="3"/>
      <c r="F20" s="5"/>
      <c r="G20" s="6"/>
      <c r="H20" s="5"/>
      <c r="I20" s="67"/>
      <c r="J20" s="67"/>
      <c r="K20" s="8"/>
      <c r="L20" s="15" t="s">
        <v>60</v>
      </c>
      <c r="M20" s="58" t="s">
        <v>62</v>
      </c>
      <c r="N20" s="73" t="n">
        <v>47500000000000</v>
      </c>
      <c r="O20" s="70" t="n">
        <v>180000000000</v>
      </c>
      <c r="P20" s="3"/>
      <c r="Q20" s="3"/>
      <c r="R20" s="3"/>
      <c r="S20" s="6"/>
      <c r="T20" s="3"/>
      <c r="U20" s="5"/>
      <c r="V20" s="3"/>
      <c r="W20" s="3"/>
      <c r="X20" s="9"/>
      <c r="Y20" s="9"/>
    </row>
    <row r="21" s="14" customFormat="true" ht="15" hidden="false" customHeight="true" outlineLevel="0" collapsed="false">
      <c r="A21" s="9" t="n">
        <v>10</v>
      </c>
      <c r="B21" s="3"/>
      <c r="C21" s="3" t="s">
        <v>56</v>
      </c>
      <c r="D21" s="68" t="n">
        <v>669533</v>
      </c>
      <c r="E21" s="3" t="s">
        <v>45</v>
      </c>
      <c r="F21" s="5" t="n">
        <v>44969</v>
      </c>
      <c r="G21" s="6" t="s">
        <v>28</v>
      </c>
      <c r="H21" s="5" t="n">
        <v>45005</v>
      </c>
      <c r="I21" s="67"/>
      <c r="J21" s="67"/>
      <c r="K21" s="8" t="n">
        <f aca="false">H21-F21</f>
        <v>36</v>
      </c>
      <c r="L21" s="9" t="s">
        <v>30</v>
      </c>
      <c r="M21" s="51" t="s">
        <v>31</v>
      </c>
      <c r="N21" s="69" t="n">
        <v>41300000000000</v>
      </c>
      <c r="O21" s="69" t="n">
        <v>100000000</v>
      </c>
      <c r="P21" s="3" t="s">
        <v>32</v>
      </c>
      <c r="Q21" s="3" t="s">
        <v>33</v>
      </c>
      <c r="R21" s="3" t="s">
        <v>36</v>
      </c>
      <c r="S21" s="6" t="s">
        <v>28</v>
      </c>
      <c r="T21" s="3" t="s">
        <v>35</v>
      </c>
      <c r="U21" s="5" t="n">
        <v>45040</v>
      </c>
      <c r="V21" s="3" t="n">
        <f aca="false">U21-F21</f>
        <v>71</v>
      </c>
      <c r="W21" s="3"/>
      <c r="X21" s="9"/>
      <c r="Y21" s="9" t="s">
        <v>58</v>
      </c>
    </row>
    <row r="22" s="14" customFormat="true" ht="15" hidden="false" customHeight="true" outlineLevel="0" collapsed="false">
      <c r="A22" s="9"/>
      <c r="B22" s="3"/>
      <c r="C22" s="3"/>
      <c r="D22" s="68"/>
      <c r="E22" s="3"/>
      <c r="F22" s="5"/>
      <c r="G22" s="6"/>
      <c r="H22" s="5"/>
      <c r="I22" s="67"/>
      <c r="J22" s="67"/>
      <c r="K22" s="8"/>
      <c r="L22" s="15" t="s">
        <v>60</v>
      </c>
      <c r="M22" s="58" t="s">
        <v>62</v>
      </c>
      <c r="N22" s="73" t="n">
        <v>47500000000000</v>
      </c>
      <c r="O22" s="70" t="n">
        <v>180000000000</v>
      </c>
      <c r="P22" s="3"/>
      <c r="Q22" s="3"/>
      <c r="R22" s="3"/>
      <c r="S22" s="6"/>
      <c r="T22" s="3"/>
      <c r="U22" s="5"/>
      <c r="V22" s="3"/>
      <c r="W22" s="3"/>
      <c r="X22" s="9"/>
      <c r="Y22" s="9"/>
    </row>
    <row r="23" s="14" customFormat="true" ht="15" hidden="false" customHeight="true" outlineLevel="0" collapsed="false">
      <c r="A23" s="9" t="n">
        <v>11</v>
      </c>
      <c r="B23" s="3"/>
      <c r="C23" s="3" t="s">
        <v>56</v>
      </c>
      <c r="D23" s="68" t="n">
        <v>673887</v>
      </c>
      <c r="E23" s="3" t="s">
        <v>27</v>
      </c>
      <c r="F23" s="5" t="n">
        <v>44998</v>
      </c>
      <c r="G23" s="6" t="s">
        <v>28</v>
      </c>
      <c r="H23" s="5" t="n">
        <v>45033</v>
      </c>
      <c r="I23" s="67"/>
      <c r="J23" s="67"/>
      <c r="K23" s="74" t="n">
        <f aca="false">H23-F23</f>
        <v>35</v>
      </c>
      <c r="L23" s="9" t="s">
        <v>30</v>
      </c>
      <c r="M23" s="51" t="s">
        <v>31</v>
      </c>
      <c r="N23" s="69" t="n">
        <v>41300000000000</v>
      </c>
      <c r="O23" s="69" t="n">
        <v>100000000</v>
      </c>
      <c r="P23" s="3" t="s">
        <v>32</v>
      </c>
      <c r="Q23" s="3" t="s">
        <v>33</v>
      </c>
      <c r="R23" s="3" t="s">
        <v>36</v>
      </c>
      <c r="S23" s="6" t="s">
        <v>28</v>
      </c>
      <c r="T23" s="3" t="s">
        <v>35</v>
      </c>
      <c r="U23" s="5" t="n">
        <v>45068</v>
      </c>
      <c r="V23" s="3" t="n">
        <f aca="false">U23-F23</f>
        <v>70</v>
      </c>
      <c r="W23" s="3"/>
      <c r="X23" s="9"/>
      <c r="Y23" s="9" t="s">
        <v>58</v>
      </c>
    </row>
    <row r="24" s="14" customFormat="true" ht="15" hidden="false" customHeight="true" outlineLevel="0" collapsed="false">
      <c r="A24" s="9"/>
      <c r="B24" s="3"/>
      <c r="C24" s="3"/>
      <c r="D24" s="68"/>
      <c r="E24" s="3"/>
      <c r="F24" s="5"/>
      <c r="G24" s="6"/>
      <c r="H24" s="5"/>
      <c r="I24" s="67"/>
      <c r="J24" s="67"/>
      <c r="K24" s="74"/>
      <c r="L24" s="15" t="s">
        <v>60</v>
      </c>
      <c r="M24" s="58" t="s">
        <v>62</v>
      </c>
      <c r="N24" s="73" t="n">
        <v>47500000000000</v>
      </c>
      <c r="O24" s="70" t="n">
        <v>180000000000</v>
      </c>
      <c r="P24" s="3"/>
      <c r="Q24" s="3"/>
      <c r="R24" s="3"/>
      <c r="S24" s="6"/>
      <c r="T24" s="3"/>
      <c r="U24" s="5"/>
      <c r="V24" s="3"/>
      <c r="W24" s="3"/>
      <c r="X24" s="9"/>
      <c r="Y24" s="9"/>
    </row>
    <row r="25" s="14" customFormat="true" ht="12" hidden="false" customHeight="true" outlineLevel="0" collapsed="false">
      <c r="A25" s="3" t="n">
        <v>12</v>
      </c>
      <c r="B25" s="3"/>
      <c r="C25" s="3" t="s">
        <v>56</v>
      </c>
      <c r="D25" s="68" t="n">
        <v>673893</v>
      </c>
      <c r="E25" s="3" t="s">
        <v>27</v>
      </c>
      <c r="F25" s="5" t="n">
        <v>44998</v>
      </c>
      <c r="G25" s="6" t="s">
        <v>28</v>
      </c>
      <c r="H25" s="5" t="n">
        <v>45033</v>
      </c>
      <c r="I25" s="67"/>
      <c r="J25" s="67"/>
      <c r="K25" s="74" t="n">
        <f aca="false">H25-F25</f>
        <v>35</v>
      </c>
      <c r="L25" s="9" t="s">
        <v>30</v>
      </c>
      <c r="M25" s="51" t="s">
        <v>31</v>
      </c>
      <c r="N25" s="69" t="n">
        <v>41300000000000</v>
      </c>
      <c r="O25" s="69" t="n">
        <v>100000000</v>
      </c>
      <c r="P25" s="3" t="s">
        <v>32</v>
      </c>
      <c r="Q25" s="3" t="s">
        <v>33</v>
      </c>
      <c r="R25" s="3" t="s">
        <v>36</v>
      </c>
      <c r="S25" s="6" t="s">
        <v>28</v>
      </c>
      <c r="T25" s="3" t="s">
        <v>35</v>
      </c>
      <c r="U25" s="5" t="n">
        <v>45068</v>
      </c>
      <c r="V25" s="3" t="n">
        <f aca="false">U25-F25</f>
        <v>70</v>
      </c>
      <c r="W25" s="3"/>
      <c r="X25" s="9"/>
      <c r="Y25" s="9" t="s">
        <v>58</v>
      </c>
    </row>
    <row r="26" s="14" customFormat="true" ht="12" hidden="false" customHeight="false" outlineLevel="0" collapsed="false">
      <c r="A26" s="3"/>
      <c r="B26" s="3"/>
      <c r="C26" s="3"/>
      <c r="D26" s="68"/>
      <c r="E26" s="3"/>
      <c r="F26" s="5"/>
      <c r="G26" s="6"/>
      <c r="H26" s="5"/>
      <c r="I26" s="67"/>
      <c r="J26" s="67"/>
      <c r="K26" s="74"/>
      <c r="L26" s="15" t="s">
        <v>60</v>
      </c>
      <c r="M26" s="58" t="s">
        <v>62</v>
      </c>
      <c r="N26" s="73" t="n">
        <v>47500000000000</v>
      </c>
      <c r="O26" s="70" t="n">
        <v>180000000000</v>
      </c>
      <c r="P26" s="3"/>
      <c r="Q26" s="3"/>
      <c r="R26" s="3"/>
      <c r="S26" s="6"/>
      <c r="T26" s="3"/>
      <c r="U26" s="5"/>
      <c r="V26" s="3"/>
      <c r="W26" s="3"/>
      <c r="X26" s="9"/>
      <c r="Y26" s="9"/>
    </row>
    <row r="27" s="14" customFormat="true" ht="12.8" hidden="false" customHeight="true" outlineLevel="0" collapsed="false">
      <c r="A27" s="9" t="n">
        <v>13</v>
      </c>
      <c r="B27" s="3"/>
      <c r="C27" s="3" t="s">
        <v>56</v>
      </c>
      <c r="D27" s="68" t="n">
        <v>673894</v>
      </c>
      <c r="E27" s="3" t="s">
        <v>45</v>
      </c>
      <c r="F27" s="5" t="n">
        <v>44998</v>
      </c>
      <c r="G27" s="6" t="s">
        <v>28</v>
      </c>
      <c r="H27" s="5" t="n">
        <v>45033</v>
      </c>
      <c r="I27" s="67"/>
      <c r="J27" s="67"/>
      <c r="K27" s="74" t="n">
        <f aca="false">H27-F27</f>
        <v>35</v>
      </c>
      <c r="L27" s="9" t="s">
        <v>30</v>
      </c>
      <c r="M27" s="51" t="s">
        <v>31</v>
      </c>
      <c r="N27" s="69" t="n">
        <v>41300000000000</v>
      </c>
      <c r="O27" s="69" t="n">
        <v>100000000</v>
      </c>
      <c r="P27" s="3" t="s">
        <v>32</v>
      </c>
      <c r="Q27" s="3" t="s">
        <v>33</v>
      </c>
      <c r="R27" s="3" t="s">
        <v>36</v>
      </c>
      <c r="S27" s="6" t="s">
        <v>28</v>
      </c>
      <c r="T27" s="3" t="s">
        <v>35</v>
      </c>
      <c r="U27" s="5" t="n">
        <v>45068</v>
      </c>
      <c r="V27" s="3" t="n">
        <f aca="false">U27-F27</f>
        <v>70</v>
      </c>
      <c r="W27" s="75"/>
      <c r="X27" s="3"/>
      <c r="Y27" s="3" t="s">
        <v>58</v>
      </c>
    </row>
    <row r="28" s="14" customFormat="true" ht="12" hidden="false" customHeight="false" outlineLevel="0" collapsed="false">
      <c r="A28" s="9"/>
      <c r="B28" s="3"/>
      <c r="C28" s="3"/>
      <c r="D28" s="68"/>
      <c r="E28" s="3"/>
      <c r="F28" s="5"/>
      <c r="G28" s="6"/>
      <c r="H28" s="5"/>
      <c r="I28" s="67"/>
      <c r="J28" s="67"/>
      <c r="K28" s="74"/>
      <c r="L28" s="15" t="s">
        <v>60</v>
      </c>
      <c r="M28" s="58" t="s">
        <v>62</v>
      </c>
      <c r="N28" s="73" t="n">
        <v>47500000000000</v>
      </c>
      <c r="O28" s="70" t="n">
        <v>180000000000</v>
      </c>
      <c r="P28" s="3"/>
      <c r="Q28" s="3"/>
      <c r="R28" s="3"/>
      <c r="S28" s="6"/>
      <c r="T28" s="3"/>
      <c r="U28" s="5"/>
      <c r="V28" s="3"/>
      <c r="W28" s="75"/>
      <c r="X28" s="3"/>
      <c r="Y28" s="3"/>
    </row>
    <row r="29" s="14" customFormat="true" ht="12" hidden="false" customHeight="true" outlineLevel="0" collapsed="false">
      <c r="A29" s="3" t="n">
        <v>14</v>
      </c>
      <c r="B29" s="3"/>
      <c r="C29" s="3" t="s">
        <v>56</v>
      </c>
      <c r="D29" s="68" t="n">
        <v>673896</v>
      </c>
      <c r="E29" s="3" t="s">
        <v>45</v>
      </c>
      <c r="F29" s="5" t="n">
        <v>44998</v>
      </c>
      <c r="G29" s="6" t="s">
        <v>28</v>
      </c>
      <c r="H29" s="5" t="n">
        <v>45033</v>
      </c>
      <c r="I29" s="67"/>
      <c r="J29" s="67"/>
      <c r="K29" s="74" t="n">
        <f aca="false">H29-F29</f>
        <v>35</v>
      </c>
      <c r="L29" s="9" t="s">
        <v>30</v>
      </c>
      <c r="M29" s="51" t="s">
        <v>31</v>
      </c>
      <c r="N29" s="69" t="n">
        <v>41300000000000</v>
      </c>
      <c r="O29" s="69" t="n">
        <v>100000000</v>
      </c>
      <c r="P29" s="3" t="s">
        <v>32</v>
      </c>
      <c r="Q29" s="3" t="s">
        <v>33</v>
      </c>
      <c r="R29" s="3" t="s">
        <v>36</v>
      </c>
      <c r="S29" s="6" t="s">
        <v>28</v>
      </c>
      <c r="T29" s="3" t="s">
        <v>35</v>
      </c>
      <c r="U29" s="5" t="n">
        <v>45068</v>
      </c>
      <c r="V29" s="3" t="n">
        <f aca="false">U29-F29</f>
        <v>70</v>
      </c>
      <c r="W29" s="3"/>
      <c r="X29" s="42"/>
      <c r="Y29" s="42"/>
    </row>
    <row r="30" s="14" customFormat="true" ht="12" hidden="false" customHeight="false" outlineLevel="0" collapsed="false">
      <c r="A30" s="3"/>
      <c r="B30" s="3"/>
      <c r="C30" s="3"/>
      <c r="D30" s="68"/>
      <c r="E30" s="3"/>
      <c r="F30" s="5"/>
      <c r="G30" s="6"/>
      <c r="H30" s="5"/>
      <c r="I30" s="67"/>
      <c r="J30" s="67"/>
      <c r="K30" s="74"/>
      <c r="L30" s="15" t="s">
        <v>60</v>
      </c>
      <c r="M30" s="58" t="s">
        <v>62</v>
      </c>
      <c r="N30" s="73" t="n">
        <v>47500000000000</v>
      </c>
      <c r="O30" s="70" t="n">
        <v>180000000000</v>
      </c>
      <c r="P30" s="3"/>
      <c r="Q30" s="3"/>
      <c r="R30" s="3"/>
      <c r="S30" s="6"/>
      <c r="T30" s="3"/>
      <c r="U30" s="5"/>
      <c r="V30" s="3"/>
      <c r="W30" s="3"/>
      <c r="X30" s="42"/>
      <c r="Y30" s="42"/>
    </row>
    <row r="31" s="14" customFormat="true" ht="12" hidden="false" customHeight="true" outlineLevel="0" collapsed="false">
      <c r="A31" s="9" t="n">
        <v>15</v>
      </c>
      <c r="B31" s="3"/>
      <c r="C31" s="3" t="s">
        <v>56</v>
      </c>
      <c r="D31" s="68"/>
      <c r="E31" s="3"/>
      <c r="F31" s="5"/>
      <c r="G31" s="6"/>
      <c r="H31" s="5"/>
      <c r="I31" s="67"/>
      <c r="J31" s="67"/>
      <c r="K31" s="74" t="n">
        <f aca="false">H31-F31</f>
        <v>0</v>
      </c>
      <c r="L31" s="9"/>
      <c r="M31" s="51"/>
      <c r="N31" s="69"/>
      <c r="O31" s="69"/>
      <c r="P31" s="3" t="s">
        <v>32</v>
      </c>
      <c r="Q31" s="3" t="s">
        <v>33</v>
      </c>
      <c r="R31" s="3"/>
      <c r="S31" s="6"/>
      <c r="T31" s="3"/>
      <c r="U31" s="5"/>
      <c r="V31" s="3"/>
      <c r="W31" s="3"/>
      <c r="X31" s="9"/>
      <c r="Y31" s="9"/>
    </row>
    <row r="32" s="14" customFormat="true" ht="12" hidden="false" customHeight="false" outlineLevel="0" collapsed="false">
      <c r="A32" s="9"/>
      <c r="B32" s="3"/>
      <c r="C32" s="3"/>
      <c r="D32" s="68"/>
      <c r="E32" s="3"/>
      <c r="F32" s="5"/>
      <c r="G32" s="6"/>
      <c r="H32" s="5"/>
      <c r="I32" s="67"/>
      <c r="J32" s="67"/>
      <c r="K32" s="74"/>
      <c r="L32" s="15"/>
      <c r="M32" s="58"/>
      <c r="N32" s="73"/>
      <c r="O32" s="70"/>
      <c r="P32" s="3"/>
      <c r="Q32" s="3"/>
      <c r="R32" s="3"/>
      <c r="S32" s="6"/>
      <c r="T32" s="3"/>
      <c r="U32" s="5"/>
      <c r="V32" s="3"/>
      <c r="W32" s="3"/>
      <c r="X32" s="9"/>
      <c r="Y32" s="9"/>
    </row>
    <row r="33" s="14" customFormat="true" ht="12" hidden="false" customHeight="true" outlineLevel="0" collapsed="false">
      <c r="A33" s="3" t="n">
        <v>16</v>
      </c>
      <c r="B33" s="3"/>
      <c r="C33" s="3" t="s">
        <v>56</v>
      </c>
      <c r="D33" s="68"/>
      <c r="E33" s="3"/>
      <c r="F33" s="5"/>
      <c r="G33" s="6"/>
      <c r="H33" s="5"/>
      <c r="I33" s="67"/>
      <c r="J33" s="67"/>
      <c r="K33" s="74" t="n">
        <f aca="false">H33-F33</f>
        <v>0</v>
      </c>
      <c r="L33" s="76"/>
      <c r="M33" s="77"/>
      <c r="N33" s="78"/>
      <c r="O33" s="79"/>
      <c r="P33" s="3" t="s">
        <v>32</v>
      </c>
      <c r="Q33" s="3" t="s">
        <v>33</v>
      </c>
      <c r="R33" s="3"/>
      <c r="S33" s="6"/>
      <c r="T33" s="3"/>
      <c r="U33" s="5"/>
      <c r="V33" s="3"/>
      <c r="W33" s="3"/>
      <c r="X33" s="3"/>
      <c r="Y33" s="3"/>
    </row>
    <row r="34" s="14" customFormat="true" ht="12" hidden="false" customHeight="false" outlineLevel="0" collapsed="false">
      <c r="A34" s="3"/>
      <c r="B34" s="3"/>
      <c r="C34" s="3"/>
      <c r="D34" s="68"/>
      <c r="E34" s="3"/>
      <c r="F34" s="5"/>
      <c r="G34" s="6"/>
      <c r="H34" s="5"/>
      <c r="I34" s="67"/>
      <c r="J34" s="67"/>
      <c r="K34" s="74"/>
      <c r="L34" s="80"/>
      <c r="M34" s="81"/>
      <c r="N34" s="82"/>
      <c r="O34" s="83"/>
      <c r="P34" s="3"/>
      <c r="Q34" s="3"/>
      <c r="R34" s="3"/>
      <c r="S34" s="6"/>
      <c r="T34" s="3"/>
      <c r="U34" s="5"/>
      <c r="V34" s="3"/>
      <c r="W34" s="3"/>
      <c r="X34" s="3"/>
      <c r="Y34" s="3"/>
    </row>
    <row r="35" s="14" customFormat="true" ht="12" hidden="false" customHeight="true" outlineLevel="0" collapsed="false">
      <c r="A35" s="9" t="n">
        <v>17</v>
      </c>
      <c r="B35" s="3"/>
      <c r="C35" s="3" t="s">
        <v>56</v>
      </c>
      <c r="D35" s="68"/>
      <c r="E35" s="3"/>
      <c r="F35" s="5"/>
      <c r="G35" s="6"/>
      <c r="H35" s="5"/>
      <c r="I35" s="67"/>
      <c r="J35" s="67"/>
      <c r="K35" s="74" t="n">
        <f aca="false">H35-F35</f>
        <v>0</v>
      </c>
      <c r="L35" s="9"/>
      <c r="M35" s="51"/>
      <c r="N35" s="69"/>
      <c r="O35" s="69"/>
      <c r="P35" s="3" t="s">
        <v>32</v>
      </c>
      <c r="Q35" s="3" t="s">
        <v>33</v>
      </c>
      <c r="R35" s="3"/>
      <c r="S35" s="6"/>
      <c r="T35" s="3"/>
      <c r="U35" s="5"/>
      <c r="V35" s="3"/>
      <c r="W35" s="3"/>
      <c r="X35" s="9"/>
      <c r="Y35" s="9"/>
    </row>
    <row r="36" s="14" customFormat="true" ht="12" hidden="false" customHeight="false" outlineLevel="0" collapsed="false">
      <c r="A36" s="9"/>
      <c r="B36" s="3"/>
      <c r="C36" s="3"/>
      <c r="D36" s="68"/>
      <c r="E36" s="3"/>
      <c r="F36" s="5"/>
      <c r="G36" s="6"/>
      <c r="H36" s="5"/>
      <c r="I36" s="67"/>
      <c r="J36" s="67"/>
      <c r="K36" s="74"/>
      <c r="L36" s="15"/>
      <c r="M36" s="58"/>
      <c r="N36" s="73"/>
      <c r="O36" s="70"/>
      <c r="P36" s="3"/>
      <c r="Q36" s="3"/>
      <c r="R36" s="3"/>
      <c r="S36" s="6"/>
      <c r="T36" s="3"/>
      <c r="U36" s="5"/>
      <c r="V36" s="3"/>
      <c r="W36" s="3"/>
      <c r="X36" s="9"/>
      <c r="Y36" s="9"/>
    </row>
    <row r="37" s="14" customFormat="true" ht="12" hidden="false" customHeight="true" outlineLevel="0" collapsed="false">
      <c r="A37" s="3" t="n">
        <v>18</v>
      </c>
      <c r="B37" s="3"/>
      <c r="C37" s="3" t="s">
        <v>56</v>
      </c>
      <c r="D37" s="68"/>
      <c r="E37" s="3"/>
      <c r="F37" s="5"/>
      <c r="G37" s="6"/>
      <c r="H37" s="5"/>
      <c r="I37" s="67"/>
      <c r="J37" s="67"/>
      <c r="K37" s="74" t="n">
        <f aca="false">H37-F37</f>
        <v>0</v>
      </c>
      <c r="L37" s="76"/>
      <c r="M37" s="77"/>
      <c r="N37" s="78"/>
      <c r="O37" s="79"/>
      <c r="P37" s="3" t="s">
        <v>32</v>
      </c>
      <c r="Q37" s="3" t="s">
        <v>33</v>
      </c>
      <c r="R37" s="3"/>
      <c r="S37" s="6"/>
      <c r="T37" s="3"/>
      <c r="U37" s="5"/>
      <c r="V37" s="3"/>
      <c r="W37" s="3"/>
      <c r="X37" s="3"/>
      <c r="Y37" s="3"/>
    </row>
    <row r="38" s="14" customFormat="true" ht="12" hidden="false" customHeight="false" outlineLevel="0" collapsed="false">
      <c r="A38" s="3"/>
      <c r="B38" s="3"/>
      <c r="C38" s="3"/>
      <c r="D38" s="68"/>
      <c r="E38" s="3"/>
      <c r="F38" s="5"/>
      <c r="G38" s="6"/>
      <c r="H38" s="5"/>
      <c r="I38" s="67"/>
      <c r="J38" s="67"/>
      <c r="K38" s="74"/>
      <c r="L38" s="80"/>
      <c r="M38" s="81"/>
      <c r="N38" s="82"/>
      <c r="O38" s="83"/>
      <c r="P38" s="3"/>
      <c r="Q38" s="3"/>
      <c r="R38" s="3"/>
      <c r="S38" s="6"/>
      <c r="T38" s="3"/>
      <c r="U38" s="5"/>
      <c r="V38" s="3"/>
      <c r="W38" s="3"/>
      <c r="X38" s="3"/>
      <c r="Y38" s="3"/>
    </row>
  </sheetData>
  <mergeCells count="378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X9" activeCellId="0" sqref="X9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7.15"/>
    <col collapsed="false" customWidth="true" hidden="false" outlineLevel="0" max="3" min="3" style="0" width="17.42"/>
    <col collapsed="false" customWidth="true" hidden="false" outlineLevel="0" max="12" min="12" style="0" width="24.29"/>
    <col collapsed="false" customWidth="true" hidden="false" outlineLevel="0" max="13" min="13" style="0" width="13.01"/>
    <col collapsed="false" customWidth="true" hidden="false" outlineLevel="0" max="14" min="14" style="0" width="12.86"/>
    <col collapsed="false" customWidth="true" hidden="false" outlineLevel="0" max="18" min="18" style="0" width="12.86"/>
    <col collapsed="false" customWidth="true" hidden="false" outlineLevel="0" max="19" min="19" style="0" width="15.71"/>
    <col collapsed="false" customWidth="true" hidden="false" outlineLevel="0" max="20" min="20" style="0" width="19"/>
    <col collapsed="false" customWidth="true" hidden="false" outlineLevel="0" max="21" min="21" style="0" width="16.14"/>
    <col collapsed="false" customWidth="true" hidden="false" outlineLevel="0" max="22" min="22" style="0" width="13.01"/>
    <col collapsed="false" customWidth="true" hidden="false" outlineLevel="0" max="23" min="23" style="0" width="18.42"/>
    <col collapsed="false" customWidth="true" hidden="false" outlineLevel="0" max="24" min="24" style="0" width="19.85"/>
    <col collapsed="false" customWidth="true" hidden="false" outlineLevel="0" max="25" min="25" style="0" width="11.99"/>
  </cols>
  <sheetData>
    <row r="1" s="57" customFormat="true" ht="4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4" customFormat="true" ht="15.75" hidden="false" customHeight="false" outlineLevel="0" collapsed="false">
      <c r="D2" s="57"/>
    </row>
    <row r="3" s="14" customFormat="true" ht="15" hidden="false" customHeight="true" outlineLevel="0" collapsed="false">
      <c r="A3" s="3" t="n">
        <v>1</v>
      </c>
      <c r="B3" s="59"/>
      <c r="C3" s="3" t="s">
        <v>63</v>
      </c>
      <c r="D3" s="60" t="n">
        <v>652779</v>
      </c>
      <c r="E3" s="3" t="s">
        <v>27</v>
      </c>
      <c r="F3" s="5" t="n">
        <v>44836</v>
      </c>
      <c r="G3" s="6" t="s">
        <v>28</v>
      </c>
      <c r="H3" s="5" t="n">
        <v>44858</v>
      </c>
      <c r="I3" s="7"/>
      <c r="J3" s="7"/>
      <c r="K3" s="8" t="n">
        <f aca="false">H3-F3</f>
        <v>22</v>
      </c>
      <c r="L3" s="61" t="s">
        <v>57</v>
      </c>
      <c r="M3" s="62" t="s">
        <v>31</v>
      </c>
      <c r="N3" s="63" t="n">
        <v>41300000000000</v>
      </c>
      <c r="O3" s="63" t="n">
        <v>3000000000</v>
      </c>
      <c r="P3" s="13" t="s">
        <v>32</v>
      </c>
      <c r="Q3" s="3" t="s">
        <v>33</v>
      </c>
      <c r="R3" s="3" t="s">
        <v>36</v>
      </c>
      <c r="S3" s="6" t="s">
        <v>28</v>
      </c>
      <c r="T3" s="3" t="s">
        <v>35</v>
      </c>
      <c r="U3" s="5" t="n">
        <v>44893</v>
      </c>
      <c r="V3" s="3" t="n">
        <f aca="false">U3-F3</f>
        <v>57</v>
      </c>
      <c r="W3" s="3"/>
      <c r="X3" s="3"/>
      <c r="Y3" s="3" t="s">
        <v>58</v>
      </c>
    </row>
    <row r="4" s="14" customFormat="true" ht="15" hidden="false" customHeight="true" outlineLevel="0" collapsed="false">
      <c r="A4" s="3"/>
      <c r="B4" s="59"/>
      <c r="C4" s="3"/>
      <c r="D4" s="60"/>
      <c r="E4" s="3"/>
      <c r="F4" s="5"/>
      <c r="G4" s="6"/>
      <c r="H4" s="5"/>
      <c r="I4" s="7"/>
      <c r="J4" s="7"/>
      <c r="K4" s="8"/>
      <c r="L4" s="64" t="s">
        <v>48</v>
      </c>
      <c r="M4" s="65" t="s">
        <v>49</v>
      </c>
      <c r="N4" s="66" t="n">
        <v>19000000000000</v>
      </c>
      <c r="O4" s="66" t="n">
        <v>180000000000</v>
      </c>
      <c r="P4" s="13"/>
      <c r="Q4" s="3"/>
      <c r="R4" s="3"/>
      <c r="S4" s="6"/>
      <c r="T4" s="3"/>
      <c r="U4" s="5"/>
      <c r="V4" s="3"/>
      <c r="W4" s="3"/>
      <c r="X4" s="3"/>
      <c r="Y4" s="3"/>
    </row>
    <row r="5" s="14" customFormat="true" ht="15" hidden="false" customHeight="true" outlineLevel="0" collapsed="false">
      <c r="A5" s="9" t="n">
        <v>2</v>
      </c>
      <c r="B5" s="3"/>
      <c r="C5" s="3" t="s">
        <v>63</v>
      </c>
      <c r="D5" s="60" t="n">
        <v>652781</v>
      </c>
      <c r="E5" s="3" t="s">
        <v>45</v>
      </c>
      <c r="F5" s="5" t="n">
        <v>44836</v>
      </c>
      <c r="G5" s="6" t="s">
        <v>28</v>
      </c>
      <c r="H5" s="5" t="n">
        <v>44858</v>
      </c>
      <c r="I5" s="67"/>
      <c r="J5" s="67"/>
      <c r="K5" s="8" t="n">
        <f aca="false">H5-F5</f>
        <v>22</v>
      </c>
      <c r="L5" s="61" t="s">
        <v>57</v>
      </c>
      <c r="M5" s="62" t="s">
        <v>31</v>
      </c>
      <c r="N5" s="63" t="n">
        <v>41300000000000</v>
      </c>
      <c r="O5" s="63" t="n">
        <v>3000000000</v>
      </c>
      <c r="P5" s="3" t="s">
        <v>32</v>
      </c>
      <c r="Q5" s="3" t="s">
        <v>33</v>
      </c>
      <c r="R5" s="3" t="s">
        <v>36</v>
      </c>
      <c r="S5" s="6" t="s">
        <v>28</v>
      </c>
      <c r="T5" s="3" t="s">
        <v>35</v>
      </c>
      <c r="U5" s="5" t="n">
        <v>44893</v>
      </c>
      <c r="V5" s="3" t="n">
        <f aca="false">U5-F5</f>
        <v>57</v>
      </c>
      <c r="W5" s="3"/>
      <c r="X5" s="9"/>
      <c r="Y5" s="9" t="s">
        <v>58</v>
      </c>
    </row>
    <row r="6" s="14" customFormat="true" ht="15" hidden="false" customHeight="true" outlineLevel="0" collapsed="false">
      <c r="A6" s="9"/>
      <c r="B6" s="3"/>
      <c r="C6" s="3"/>
      <c r="D6" s="60"/>
      <c r="E6" s="3"/>
      <c r="F6" s="5"/>
      <c r="G6" s="6"/>
      <c r="H6" s="5"/>
      <c r="I6" s="67"/>
      <c r="J6" s="67"/>
      <c r="K6" s="8"/>
      <c r="L6" s="64" t="s">
        <v>48</v>
      </c>
      <c r="M6" s="65" t="s">
        <v>49</v>
      </c>
      <c r="N6" s="66" t="n">
        <v>19000000000000</v>
      </c>
      <c r="O6" s="66" t="n">
        <v>180000000000</v>
      </c>
      <c r="P6" s="3"/>
      <c r="Q6" s="3"/>
      <c r="R6" s="3"/>
      <c r="S6" s="6"/>
      <c r="T6" s="3"/>
      <c r="U6" s="5"/>
      <c r="V6" s="3"/>
      <c r="W6" s="3"/>
      <c r="X6" s="9"/>
      <c r="Y6" s="9"/>
    </row>
    <row r="7" s="14" customFormat="true" ht="15" hidden="false" customHeight="true" outlineLevel="0" collapsed="false">
      <c r="A7" s="9" t="n">
        <v>3</v>
      </c>
      <c r="B7" s="3"/>
      <c r="C7" s="3" t="s">
        <v>63</v>
      </c>
      <c r="D7" s="68" t="n">
        <v>669973</v>
      </c>
      <c r="E7" s="3" t="s">
        <v>27</v>
      </c>
      <c r="F7" s="5" t="n">
        <v>44972</v>
      </c>
      <c r="G7" s="6" t="s">
        <v>28</v>
      </c>
      <c r="H7" s="5" t="n">
        <v>45007</v>
      </c>
      <c r="I7" s="67"/>
      <c r="J7" s="67"/>
      <c r="K7" s="8" t="n">
        <f aca="false">H7-F7</f>
        <v>35</v>
      </c>
      <c r="L7" s="9" t="s">
        <v>30</v>
      </c>
      <c r="M7" s="51" t="s">
        <v>31</v>
      </c>
      <c r="N7" s="69" t="n">
        <v>41300000000000</v>
      </c>
      <c r="O7" s="69" t="n">
        <v>100000000</v>
      </c>
      <c r="P7" s="3" t="s">
        <v>32</v>
      </c>
      <c r="Q7" s="3" t="s">
        <v>33</v>
      </c>
      <c r="R7" s="3" t="s">
        <v>36</v>
      </c>
      <c r="S7" s="6" t="s">
        <v>28</v>
      </c>
      <c r="T7" s="3" t="s">
        <v>35</v>
      </c>
      <c r="U7" s="5" t="n">
        <v>45042</v>
      </c>
      <c r="V7" s="3" t="n">
        <f aca="false">U7-F7</f>
        <v>70</v>
      </c>
      <c r="W7" s="3"/>
      <c r="X7" s="9"/>
      <c r="Y7" s="9" t="s">
        <v>58</v>
      </c>
    </row>
    <row r="8" s="14" customFormat="true" ht="15" hidden="false" customHeight="true" outlineLevel="0" collapsed="false">
      <c r="A8" s="9"/>
      <c r="B8" s="3"/>
      <c r="C8" s="3"/>
      <c r="D8" s="68"/>
      <c r="E8" s="3"/>
      <c r="F8" s="5"/>
      <c r="G8" s="6"/>
      <c r="H8" s="5"/>
      <c r="I8" s="67"/>
      <c r="J8" s="67"/>
      <c r="K8" s="8"/>
      <c r="L8" s="15" t="s">
        <v>60</v>
      </c>
      <c r="M8" s="58" t="s">
        <v>62</v>
      </c>
      <c r="N8" s="73" t="n">
        <v>47500000000000</v>
      </c>
      <c r="O8" s="70" t="n">
        <v>180000000000</v>
      </c>
      <c r="P8" s="3"/>
      <c r="Q8" s="3"/>
      <c r="R8" s="3"/>
      <c r="S8" s="6"/>
      <c r="T8" s="3"/>
      <c r="U8" s="5"/>
      <c r="V8" s="3"/>
      <c r="W8" s="3"/>
      <c r="X8" s="9"/>
      <c r="Y8" s="9"/>
    </row>
    <row r="9" s="14" customFormat="true" ht="15" hidden="false" customHeight="true" outlineLevel="0" collapsed="false">
      <c r="A9" s="9" t="n">
        <v>4</v>
      </c>
      <c r="B9" s="3"/>
      <c r="C9" s="3" t="s">
        <v>63</v>
      </c>
      <c r="D9" s="68" t="n">
        <v>669974</v>
      </c>
      <c r="E9" s="3" t="s">
        <v>27</v>
      </c>
      <c r="F9" s="5" t="n">
        <v>44972</v>
      </c>
      <c r="G9" s="6" t="s">
        <v>28</v>
      </c>
      <c r="H9" s="5" t="n">
        <v>45007</v>
      </c>
      <c r="I9" s="67"/>
      <c r="J9" s="67"/>
      <c r="K9" s="8" t="n">
        <f aca="false">H9-F9</f>
        <v>35</v>
      </c>
      <c r="L9" s="9" t="s">
        <v>30</v>
      </c>
      <c r="M9" s="51" t="s">
        <v>31</v>
      </c>
      <c r="N9" s="69" t="n">
        <v>41300000000000</v>
      </c>
      <c r="O9" s="69" t="n">
        <v>100000000</v>
      </c>
      <c r="P9" s="3" t="s">
        <v>32</v>
      </c>
      <c r="Q9" s="3" t="s">
        <v>33</v>
      </c>
      <c r="R9" s="3" t="s">
        <v>36</v>
      </c>
      <c r="S9" s="6" t="s">
        <v>28</v>
      </c>
      <c r="T9" s="3" t="s">
        <v>35</v>
      </c>
      <c r="U9" s="5" t="n">
        <v>45042</v>
      </c>
      <c r="V9" s="3" t="n">
        <f aca="false">U9-F9</f>
        <v>70</v>
      </c>
      <c r="W9" s="3"/>
      <c r="X9" s="9"/>
      <c r="Y9" s="9" t="s">
        <v>58</v>
      </c>
    </row>
    <row r="10" s="14" customFormat="true" ht="15" hidden="false" customHeight="true" outlineLevel="0" collapsed="false">
      <c r="A10" s="9"/>
      <c r="B10" s="3"/>
      <c r="C10" s="3"/>
      <c r="D10" s="68"/>
      <c r="E10" s="3"/>
      <c r="F10" s="5"/>
      <c r="G10" s="6"/>
      <c r="H10" s="5"/>
      <c r="I10" s="67"/>
      <c r="J10" s="67"/>
      <c r="K10" s="8"/>
      <c r="L10" s="15" t="s">
        <v>60</v>
      </c>
      <c r="M10" s="58" t="s">
        <v>62</v>
      </c>
      <c r="N10" s="73" t="n">
        <v>47500000000000</v>
      </c>
      <c r="O10" s="70" t="n">
        <v>180000000000</v>
      </c>
      <c r="P10" s="3"/>
      <c r="Q10" s="3"/>
      <c r="R10" s="3"/>
      <c r="S10" s="6"/>
      <c r="T10" s="3"/>
      <c r="U10" s="5"/>
      <c r="V10" s="3"/>
      <c r="W10" s="3"/>
      <c r="X10" s="9"/>
      <c r="Y10" s="9"/>
    </row>
    <row r="11" s="14" customFormat="true" ht="15" hidden="false" customHeight="true" outlineLevel="0" collapsed="false">
      <c r="A11" s="9" t="n">
        <v>5</v>
      </c>
      <c r="B11" s="3"/>
      <c r="C11" s="3" t="s">
        <v>63</v>
      </c>
      <c r="D11" s="68" t="n">
        <v>669977</v>
      </c>
      <c r="E11" s="3" t="s">
        <v>45</v>
      </c>
      <c r="F11" s="5" t="n">
        <v>44972</v>
      </c>
      <c r="G11" s="6" t="s">
        <v>28</v>
      </c>
      <c r="H11" s="5" t="n">
        <v>45007</v>
      </c>
      <c r="I11" s="67"/>
      <c r="J11" s="67"/>
      <c r="K11" s="74" t="n">
        <f aca="false">H11-F11</f>
        <v>35</v>
      </c>
      <c r="L11" s="9" t="s">
        <v>30</v>
      </c>
      <c r="M11" s="51" t="s">
        <v>31</v>
      </c>
      <c r="N11" s="69" t="n">
        <v>41300000000000</v>
      </c>
      <c r="O11" s="69" t="n">
        <v>100000000</v>
      </c>
      <c r="P11" s="3" t="s">
        <v>32</v>
      </c>
      <c r="Q11" s="3" t="s">
        <v>33</v>
      </c>
      <c r="R11" s="3" t="s">
        <v>36</v>
      </c>
      <c r="S11" s="6" t="s">
        <v>28</v>
      </c>
      <c r="T11" s="3" t="s">
        <v>35</v>
      </c>
      <c r="U11" s="5" t="n">
        <v>45042</v>
      </c>
      <c r="V11" s="3" t="n">
        <f aca="false">U11-F11</f>
        <v>70</v>
      </c>
      <c r="W11" s="3"/>
      <c r="X11" s="9"/>
      <c r="Y11" s="9"/>
    </row>
    <row r="12" s="14" customFormat="true" ht="15" hidden="false" customHeight="true" outlineLevel="0" collapsed="false">
      <c r="A12" s="9"/>
      <c r="B12" s="3"/>
      <c r="C12" s="3"/>
      <c r="D12" s="68"/>
      <c r="E12" s="3"/>
      <c r="F12" s="5"/>
      <c r="G12" s="6"/>
      <c r="H12" s="5"/>
      <c r="I12" s="67"/>
      <c r="J12" s="67"/>
      <c r="K12" s="74"/>
      <c r="L12" s="15" t="s">
        <v>60</v>
      </c>
      <c r="M12" s="58" t="s">
        <v>62</v>
      </c>
      <c r="N12" s="73" t="n">
        <v>47500000000000</v>
      </c>
      <c r="O12" s="70" t="n">
        <v>180000000000</v>
      </c>
      <c r="P12" s="3"/>
      <c r="Q12" s="3"/>
      <c r="R12" s="3"/>
      <c r="S12" s="6"/>
      <c r="T12" s="3"/>
      <c r="U12" s="5"/>
      <c r="V12" s="3"/>
      <c r="W12" s="3"/>
      <c r="X12" s="9"/>
      <c r="Y12" s="9"/>
    </row>
    <row r="13" s="14" customFormat="true" ht="15" hidden="false" customHeight="true" outlineLevel="0" collapsed="false">
      <c r="A13" s="9" t="n">
        <v>6</v>
      </c>
      <c r="B13" s="3"/>
      <c r="C13" s="3" t="s">
        <v>63</v>
      </c>
      <c r="D13" s="68" t="n">
        <v>673286</v>
      </c>
      <c r="E13" s="3" t="s">
        <v>27</v>
      </c>
      <c r="F13" s="5" t="n">
        <v>44994</v>
      </c>
      <c r="G13" s="6" t="s">
        <v>28</v>
      </c>
      <c r="H13" s="5" t="n">
        <v>45030</v>
      </c>
      <c r="I13" s="67"/>
      <c r="J13" s="67"/>
      <c r="K13" s="74" t="n">
        <f aca="false">H13-F13</f>
        <v>36</v>
      </c>
      <c r="L13" s="9" t="s">
        <v>30</v>
      </c>
      <c r="M13" s="51" t="s">
        <v>31</v>
      </c>
      <c r="N13" s="69" t="n">
        <v>41300000000000</v>
      </c>
      <c r="O13" s="69" t="n">
        <v>100000000</v>
      </c>
      <c r="P13" s="3" t="s">
        <v>32</v>
      </c>
      <c r="Q13" s="3" t="s">
        <v>33</v>
      </c>
      <c r="R13" s="3" t="s">
        <v>36</v>
      </c>
      <c r="S13" s="6" t="s">
        <v>28</v>
      </c>
      <c r="T13" s="3" t="s">
        <v>35</v>
      </c>
      <c r="U13" s="5" t="n">
        <v>45065</v>
      </c>
      <c r="V13" s="3" t="n">
        <f aca="false">U13-F13</f>
        <v>71</v>
      </c>
      <c r="W13" s="3"/>
      <c r="X13" s="9"/>
      <c r="Y13" s="9"/>
    </row>
    <row r="14" s="14" customFormat="true" ht="15" hidden="false" customHeight="true" outlineLevel="0" collapsed="false">
      <c r="A14" s="9"/>
      <c r="B14" s="3"/>
      <c r="C14" s="3"/>
      <c r="D14" s="68"/>
      <c r="E14" s="3"/>
      <c r="F14" s="5"/>
      <c r="G14" s="6"/>
      <c r="H14" s="5"/>
      <c r="I14" s="67"/>
      <c r="J14" s="67"/>
      <c r="K14" s="74"/>
      <c r="L14" s="15" t="s">
        <v>60</v>
      </c>
      <c r="M14" s="58" t="s">
        <v>62</v>
      </c>
      <c r="N14" s="73" t="n">
        <v>47500000000000</v>
      </c>
      <c r="O14" s="70" t="n">
        <v>180000000000</v>
      </c>
      <c r="P14" s="3"/>
      <c r="Q14" s="3"/>
      <c r="R14" s="3"/>
      <c r="S14" s="6"/>
      <c r="T14" s="3"/>
      <c r="U14" s="5"/>
      <c r="V14" s="3"/>
      <c r="W14" s="3"/>
      <c r="X14" s="9"/>
      <c r="Y14" s="9"/>
    </row>
    <row r="15" s="14" customFormat="true" ht="15" hidden="false" customHeight="true" outlineLevel="0" collapsed="false">
      <c r="A15" s="9" t="n">
        <v>7</v>
      </c>
      <c r="B15" s="3"/>
      <c r="C15" s="3" t="s">
        <v>63</v>
      </c>
      <c r="D15" s="68" t="n">
        <v>673288</v>
      </c>
      <c r="E15" s="3" t="s">
        <v>45</v>
      </c>
      <c r="F15" s="5" t="n">
        <v>44994</v>
      </c>
      <c r="G15" s="6" t="s">
        <v>28</v>
      </c>
      <c r="H15" s="5" t="n">
        <v>45030</v>
      </c>
      <c r="I15" s="67"/>
      <c r="J15" s="67"/>
      <c r="K15" s="74" t="n">
        <f aca="false">H15-F15</f>
        <v>36</v>
      </c>
      <c r="L15" s="9" t="s">
        <v>30</v>
      </c>
      <c r="M15" s="51" t="s">
        <v>31</v>
      </c>
      <c r="N15" s="69" t="n">
        <v>41300000000000</v>
      </c>
      <c r="O15" s="69" t="n">
        <v>100000000</v>
      </c>
      <c r="P15" s="3" t="s">
        <v>32</v>
      </c>
      <c r="Q15" s="3" t="s">
        <v>33</v>
      </c>
      <c r="R15" s="3" t="s">
        <v>36</v>
      </c>
      <c r="S15" s="6" t="s">
        <v>28</v>
      </c>
      <c r="T15" s="3" t="s">
        <v>35</v>
      </c>
      <c r="U15" s="5" t="n">
        <v>45065</v>
      </c>
      <c r="V15" s="3" t="n">
        <f aca="false">U15-F15</f>
        <v>71</v>
      </c>
      <c r="W15" s="3"/>
      <c r="X15" s="9"/>
      <c r="Y15" s="9"/>
    </row>
    <row r="16" s="14" customFormat="true" ht="15" hidden="false" customHeight="true" outlineLevel="0" collapsed="false">
      <c r="A16" s="9"/>
      <c r="B16" s="3"/>
      <c r="C16" s="3"/>
      <c r="D16" s="68"/>
      <c r="E16" s="3"/>
      <c r="F16" s="5"/>
      <c r="G16" s="6"/>
      <c r="H16" s="5"/>
      <c r="I16" s="67"/>
      <c r="J16" s="67"/>
      <c r="K16" s="74"/>
      <c r="L16" s="15" t="s">
        <v>60</v>
      </c>
      <c r="M16" s="58" t="s">
        <v>62</v>
      </c>
      <c r="N16" s="73" t="n">
        <v>47500000000000</v>
      </c>
      <c r="O16" s="70" t="n">
        <v>180000000000</v>
      </c>
      <c r="P16" s="3"/>
      <c r="Q16" s="3"/>
      <c r="R16" s="3"/>
      <c r="S16" s="6"/>
      <c r="T16" s="3"/>
      <c r="U16" s="5"/>
      <c r="V16" s="3"/>
      <c r="W16" s="3"/>
      <c r="X16" s="9"/>
      <c r="Y16" s="9"/>
    </row>
    <row r="17" s="14" customFormat="true" ht="15" hidden="false" customHeight="true" outlineLevel="0" collapsed="false">
      <c r="A17" s="9" t="n">
        <v>8</v>
      </c>
      <c r="B17" s="3"/>
      <c r="C17" s="3" t="s">
        <v>63</v>
      </c>
      <c r="D17" s="68" t="n">
        <v>673289</v>
      </c>
      <c r="E17" s="3" t="s">
        <v>45</v>
      </c>
      <c r="F17" s="5" t="n">
        <v>44994</v>
      </c>
      <c r="G17" s="6" t="s">
        <v>28</v>
      </c>
      <c r="H17" s="5" t="n">
        <v>45030</v>
      </c>
      <c r="I17" s="67"/>
      <c r="J17" s="67"/>
      <c r="K17" s="74" t="n">
        <f aca="false">H17-F17</f>
        <v>36</v>
      </c>
      <c r="L17" s="9" t="s">
        <v>30</v>
      </c>
      <c r="M17" s="51" t="s">
        <v>31</v>
      </c>
      <c r="N17" s="69" t="n">
        <v>41300000000000</v>
      </c>
      <c r="O17" s="69" t="n">
        <v>100000000</v>
      </c>
      <c r="P17" s="3" t="s">
        <v>32</v>
      </c>
      <c r="Q17" s="3" t="s">
        <v>33</v>
      </c>
      <c r="R17" s="3" t="s">
        <v>36</v>
      </c>
      <c r="S17" s="6" t="s">
        <v>28</v>
      </c>
      <c r="T17" s="3" t="s">
        <v>35</v>
      </c>
      <c r="U17" s="5" t="n">
        <v>45065</v>
      </c>
      <c r="V17" s="3" t="n">
        <f aca="false">U17-F17</f>
        <v>71</v>
      </c>
      <c r="W17" s="3"/>
      <c r="X17" s="9"/>
      <c r="Y17" s="9"/>
    </row>
    <row r="18" s="14" customFormat="true" ht="15" hidden="false" customHeight="true" outlineLevel="0" collapsed="false">
      <c r="A18" s="9"/>
      <c r="B18" s="3"/>
      <c r="C18" s="3"/>
      <c r="D18" s="68"/>
      <c r="E18" s="3"/>
      <c r="F18" s="5"/>
      <c r="G18" s="6"/>
      <c r="H18" s="5"/>
      <c r="I18" s="67"/>
      <c r="J18" s="67"/>
      <c r="K18" s="74"/>
      <c r="L18" s="15" t="s">
        <v>60</v>
      </c>
      <c r="M18" s="58" t="s">
        <v>62</v>
      </c>
      <c r="N18" s="73" t="n">
        <v>47500000000000</v>
      </c>
      <c r="O18" s="70" t="n">
        <v>180000000000</v>
      </c>
      <c r="P18" s="3"/>
      <c r="Q18" s="3"/>
      <c r="R18" s="3"/>
      <c r="S18" s="6"/>
      <c r="T18" s="3"/>
      <c r="U18" s="5"/>
      <c r="V18" s="3"/>
      <c r="W18" s="3"/>
      <c r="X18" s="9"/>
      <c r="Y18" s="9"/>
    </row>
    <row r="19" s="14" customFormat="true" ht="15" hidden="false" customHeight="true" outlineLevel="0" collapsed="false">
      <c r="A19" s="9" t="n">
        <v>9</v>
      </c>
      <c r="B19" s="3"/>
      <c r="C19" s="3" t="s">
        <v>63</v>
      </c>
      <c r="D19" s="60"/>
      <c r="E19" s="3"/>
      <c r="F19" s="5"/>
      <c r="G19" s="6"/>
      <c r="H19" s="5"/>
      <c r="I19" s="67"/>
      <c r="J19" s="67"/>
      <c r="K19" s="74" t="n">
        <f aca="false">H19-F19</f>
        <v>0</v>
      </c>
      <c r="L19" s="9"/>
      <c r="M19" s="10"/>
      <c r="N19" s="11"/>
      <c r="O19" s="12"/>
      <c r="P19" s="3" t="s">
        <v>32</v>
      </c>
      <c r="Q19" s="3" t="s">
        <v>33</v>
      </c>
      <c r="R19" s="3"/>
      <c r="S19" s="6"/>
      <c r="T19" s="3" t="s">
        <v>35</v>
      </c>
      <c r="U19" s="5"/>
      <c r="V19" s="3" t="n">
        <f aca="false">U19-F19</f>
        <v>0</v>
      </c>
      <c r="W19" s="3"/>
      <c r="X19" s="9"/>
      <c r="Y19" s="9"/>
    </row>
    <row r="20" s="14" customFormat="true" ht="15" hidden="false" customHeight="true" outlineLevel="0" collapsed="false">
      <c r="A20" s="9"/>
      <c r="B20" s="3"/>
      <c r="C20" s="3"/>
      <c r="D20" s="60"/>
      <c r="E20" s="3"/>
      <c r="F20" s="5"/>
      <c r="G20" s="6"/>
      <c r="H20" s="5"/>
      <c r="I20" s="67"/>
      <c r="J20" s="67"/>
      <c r="K20" s="74"/>
      <c r="L20" s="15"/>
      <c r="N20" s="16"/>
      <c r="O20" s="52"/>
      <c r="P20" s="3"/>
      <c r="Q20" s="3"/>
      <c r="R20" s="3"/>
      <c r="S20" s="6"/>
      <c r="T20" s="3"/>
      <c r="U20" s="5"/>
      <c r="V20" s="3"/>
      <c r="W20" s="3"/>
      <c r="X20" s="9"/>
      <c r="Y20" s="9"/>
    </row>
    <row r="21" s="14" customFormat="true" ht="15" hidden="false" customHeight="true" outlineLevel="0" collapsed="false">
      <c r="A21" s="9" t="n">
        <v>10</v>
      </c>
      <c r="B21" s="9"/>
      <c r="C21" s="9" t="s">
        <v>63</v>
      </c>
      <c r="D21" s="85"/>
      <c r="E21" s="9"/>
      <c r="F21" s="47"/>
      <c r="G21" s="48"/>
      <c r="H21" s="47"/>
      <c r="I21" s="86"/>
      <c r="J21" s="86"/>
      <c r="K21" s="87" t="n">
        <f aca="false">H21-F21</f>
        <v>0</v>
      </c>
      <c r="L21" s="9"/>
      <c r="M21" s="10"/>
      <c r="N21" s="11"/>
      <c r="O21" s="12"/>
      <c r="P21" s="9" t="s">
        <v>32</v>
      </c>
      <c r="Q21" s="9" t="s">
        <v>33</v>
      </c>
      <c r="R21" s="9"/>
      <c r="S21" s="48"/>
      <c r="T21" s="9" t="s">
        <v>35</v>
      </c>
      <c r="U21" s="47"/>
      <c r="V21" s="9" t="n">
        <f aca="false">U21-F21</f>
        <v>0</v>
      </c>
      <c r="W21" s="9"/>
      <c r="X21" s="9"/>
      <c r="Y21" s="9"/>
    </row>
    <row r="22" s="14" customFormat="true" ht="15" hidden="false" customHeight="true" outlineLevel="0" collapsed="false">
      <c r="A22" s="9"/>
      <c r="B22" s="9"/>
      <c r="C22" s="9"/>
      <c r="D22" s="85"/>
      <c r="E22" s="9"/>
      <c r="F22" s="47"/>
      <c r="G22" s="48"/>
      <c r="H22" s="47"/>
      <c r="I22" s="86"/>
      <c r="J22" s="86"/>
      <c r="K22" s="87"/>
      <c r="L22" s="15"/>
      <c r="N22" s="16"/>
      <c r="O22" s="17"/>
      <c r="P22" s="9"/>
      <c r="Q22" s="9"/>
      <c r="R22" s="9"/>
      <c r="S22" s="48"/>
      <c r="T22" s="9"/>
      <c r="U22" s="47"/>
      <c r="V22" s="9"/>
      <c r="W22" s="9"/>
      <c r="X22" s="9"/>
      <c r="Y22" s="9"/>
    </row>
    <row r="23" s="14" customFormat="true" ht="15" hidden="false" customHeight="true" outlineLevel="0" collapsed="false">
      <c r="A23" s="3" t="n">
        <v>11</v>
      </c>
      <c r="B23" s="3"/>
      <c r="C23" s="3" t="s">
        <v>63</v>
      </c>
      <c r="D23" s="60"/>
      <c r="E23" s="3"/>
      <c r="F23" s="5"/>
      <c r="G23" s="6"/>
      <c r="H23" s="5"/>
      <c r="I23" s="67"/>
      <c r="J23" s="67"/>
      <c r="K23" s="74" t="n">
        <f aca="false">H23-F23</f>
        <v>0</v>
      </c>
      <c r="L23" s="9"/>
      <c r="M23" s="10"/>
      <c r="N23" s="11"/>
      <c r="O23" s="12"/>
      <c r="P23" s="3" t="s">
        <v>32</v>
      </c>
      <c r="Q23" s="3" t="s">
        <v>33</v>
      </c>
      <c r="R23" s="3"/>
      <c r="S23" s="6"/>
      <c r="T23" s="3" t="s">
        <v>35</v>
      </c>
      <c r="U23" s="5"/>
      <c r="V23" s="3" t="n">
        <f aca="false">U23-F23</f>
        <v>0</v>
      </c>
      <c r="W23" s="3"/>
      <c r="X23" s="3"/>
      <c r="Y23" s="3"/>
    </row>
    <row r="24" s="14" customFormat="true" ht="15" hidden="false" customHeight="true" outlineLevel="0" collapsed="false">
      <c r="A24" s="3"/>
      <c r="B24" s="3"/>
      <c r="C24" s="3"/>
      <c r="D24" s="60"/>
      <c r="E24" s="3"/>
      <c r="F24" s="5"/>
      <c r="G24" s="6"/>
      <c r="H24" s="5"/>
      <c r="I24" s="67"/>
      <c r="J24" s="67"/>
      <c r="K24" s="74"/>
      <c r="L24" s="42"/>
      <c r="M24" s="88"/>
      <c r="N24" s="89"/>
      <c r="O24" s="52"/>
      <c r="P24" s="3"/>
      <c r="Q24" s="3"/>
      <c r="R24" s="3"/>
      <c r="S24" s="6"/>
      <c r="T24" s="3"/>
      <c r="U24" s="5"/>
      <c r="V24" s="3"/>
      <c r="W24" s="3"/>
      <c r="X24" s="3"/>
      <c r="Y24" s="3"/>
    </row>
  </sheetData>
  <mergeCells count="231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X15" activeCellId="0" sqref="X15"/>
    </sheetView>
  </sheetViews>
  <sheetFormatPr defaultColWidth="9.15625" defaultRowHeight="15.75" zeroHeight="false" outlineLevelRow="0" outlineLevelCol="0"/>
  <cols>
    <col collapsed="false" customWidth="false" hidden="false" outlineLevel="0" max="1" min="1" style="14" width="9.14"/>
    <col collapsed="false" customWidth="true" hidden="false" outlineLevel="0" max="2" min="2" style="14" width="22.01"/>
    <col collapsed="false" customWidth="true" hidden="false" outlineLevel="0" max="3" min="3" style="14" width="19.99"/>
    <col collapsed="false" customWidth="true" hidden="false" outlineLevel="0" max="4" min="4" style="57" width="16.86"/>
    <col collapsed="false" customWidth="false" hidden="false" outlineLevel="0" max="6" min="5" style="14" width="9.14"/>
    <col collapsed="false" customWidth="true" hidden="false" outlineLevel="0" max="7" min="7" style="14" width="14.7"/>
    <col collapsed="false" customWidth="true" hidden="false" outlineLevel="0" max="8" min="8" style="14" width="15.42"/>
    <col collapsed="false" customWidth="true" hidden="true" outlineLevel="0" max="9" min="9" style="14" width="15.29"/>
    <col collapsed="false" customWidth="true" hidden="true" outlineLevel="0" max="10" min="10" style="14" width="14.43"/>
    <col collapsed="false" customWidth="true" hidden="false" outlineLevel="0" max="11" min="11" style="14" width="11.57"/>
    <col collapsed="false" customWidth="true" hidden="false" outlineLevel="0" max="12" min="12" style="14" width="23.01"/>
    <col collapsed="false" customWidth="true" hidden="false" outlineLevel="0" max="13" min="13" style="14" width="14.01"/>
    <col collapsed="false" customWidth="true" hidden="false" outlineLevel="0" max="14" min="14" style="14" width="12.14"/>
    <col collapsed="false" customWidth="true" hidden="false" outlineLevel="0" max="15" min="15" style="14" width="13.7"/>
    <col collapsed="false" customWidth="true" hidden="false" outlineLevel="0" max="16" min="16" style="14" width="12.86"/>
    <col collapsed="false" customWidth="false" hidden="false" outlineLevel="0" max="17" min="17" style="14" width="9.14"/>
    <col collapsed="false" customWidth="true" hidden="false" outlineLevel="0" max="18" min="18" style="14" width="15.57"/>
    <col collapsed="false" customWidth="true" hidden="false" outlineLevel="0" max="19" min="19" style="14" width="15.29"/>
    <col collapsed="false" customWidth="true" hidden="false" outlineLevel="0" max="20" min="20" style="14" width="11.99"/>
    <col collapsed="false" customWidth="true" hidden="false" outlineLevel="0" max="21" min="21" style="14" width="13.57"/>
    <col collapsed="false" customWidth="true" hidden="false" outlineLevel="0" max="22" min="22" style="14" width="13.43"/>
    <col collapsed="false" customWidth="true" hidden="false" outlineLevel="0" max="23" min="23" style="14" width="26.42"/>
    <col collapsed="false" customWidth="true" hidden="false" outlineLevel="0" max="24" min="24" style="14" width="34.86"/>
    <col collapsed="false" customWidth="true" hidden="false" outlineLevel="0" max="25" min="25" style="14" width="23.28"/>
    <col collapsed="false" customWidth="false" hidden="false" outlineLevel="0" max="1024" min="26" style="14" width="9.14"/>
  </cols>
  <sheetData>
    <row r="1" s="57" customFormat="true" ht="4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3" customFormat="false" ht="15" hidden="false" customHeight="true" outlineLevel="0" collapsed="false">
      <c r="A3" s="3" t="n">
        <v>1</v>
      </c>
      <c r="B3" s="59" t="s">
        <v>64</v>
      </c>
      <c r="C3" s="3" t="s">
        <v>26</v>
      </c>
      <c r="D3" s="60" t="n">
        <v>652440</v>
      </c>
      <c r="E3" s="3" t="s">
        <v>27</v>
      </c>
      <c r="F3" s="5" t="n">
        <v>44811</v>
      </c>
      <c r="G3" s="6" t="s">
        <v>28</v>
      </c>
      <c r="H3" s="5" t="n">
        <v>44846</v>
      </c>
      <c r="I3" s="7"/>
      <c r="J3" s="7"/>
      <c r="K3" s="74" t="n">
        <f aca="false">H3-F3</f>
        <v>35</v>
      </c>
      <c r="L3" s="9" t="s">
        <v>30</v>
      </c>
      <c r="M3" s="10" t="s">
        <v>31</v>
      </c>
      <c r="N3" s="11" t="n">
        <v>41300000000000</v>
      </c>
      <c r="O3" s="12" t="n">
        <v>3000000000</v>
      </c>
      <c r="P3" s="3" t="s">
        <v>32</v>
      </c>
      <c r="Q3" s="3" t="s">
        <v>33</v>
      </c>
      <c r="R3" s="3" t="s">
        <v>36</v>
      </c>
      <c r="S3" s="6" t="s">
        <v>28</v>
      </c>
      <c r="T3" s="3" t="s">
        <v>35</v>
      </c>
      <c r="U3" s="5" t="n">
        <v>44867</v>
      </c>
      <c r="V3" s="3" t="n">
        <f aca="false">U3-F3</f>
        <v>56</v>
      </c>
      <c r="W3" s="3" t="s">
        <v>36</v>
      </c>
      <c r="X3" s="3" t="s">
        <v>65</v>
      </c>
      <c r="Y3" s="3"/>
    </row>
    <row r="4" customFormat="false" ht="15" hidden="false" customHeight="true" outlineLevel="0" collapsed="false">
      <c r="A4" s="3"/>
      <c r="B4" s="59"/>
      <c r="C4" s="3"/>
      <c r="D4" s="60"/>
      <c r="E4" s="3"/>
      <c r="F4" s="5"/>
      <c r="G4" s="6"/>
      <c r="H4" s="5"/>
      <c r="I4" s="7"/>
      <c r="J4" s="7"/>
      <c r="K4" s="74"/>
      <c r="L4" s="15" t="s">
        <v>48</v>
      </c>
      <c r="M4" s="14" t="s">
        <v>49</v>
      </c>
      <c r="N4" s="16" t="n">
        <v>19000000000000</v>
      </c>
      <c r="O4" s="17" t="n">
        <v>180000000000</v>
      </c>
      <c r="P4" s="3"/>
      <c r="Q4" s="3"/>
      <c r="R4" s="3"/>
      <c r="S4" s="6"/>
      <c r="T4" s="3"/>
      <c r="U4" s="5"/>
      <c r="V4" s="3"/>
      <c r="W4" s="3"/>
      <c r="X4" s="3"/>
      <c r="Y4" s="3"/>
    </row>
    <row r="5" s="29" customFormat="true" ht="15" hidden="false" customHeight="true" outlineLevel="0" collapsed="false">
      <c r="A5" s="18" t="n">
        <v>2</v>
      </c>
      <c r="B5" s="90" t="s">
        <v>64</v>
      </c>
      <c r="C5" s="90" t="s">
        <v>26</v>
      </c>
      <c r="D5" s="91" t="n">
        <v>652441</v>
      </c>
      <c r="E5" s="90" t="s">
        <v>27</v>
      </c>
      <c r="F5" s="92" t="n">
        <v>44811</v>
      </c>
      <c r="G5" s="93" t="s">
        <v>28</v>
      </c>
      <c r="H5" s="92" t="n">
        <v>44846</v>
      </c>
      <c r="I5" s="94"/>
      <c r="J5" s="94"/>
      <c r="K5" s="95" t="n">
        <f aca="false">H5-F5</f>
        <v>35</v>
      </c>
      <c r="L5" s="18" t="s">
        <v>30</v>
      </c>
      <c r="M5" s="24" t="s">
        <v>31</v>
      </c>
      <c r="N5" s="25" t="n">
        <v>41300000000000</v>
      </c>
      <c r="O5" s="26" t="n">
        <v>3000000000</v>
      </c>
      <c r="P5" s="90" t="s">
        <v>32</v>
      </c>
      <c r="Q5" s="90" t="s">
        <v>33</v>
      </c>
      <c r="R5" s="90" t="s">
        <v>36</v>
      </c>
      <c r="S5" s="93" t="s">
        <v>28</v>
      </c>
      <c r="T5" s="90" t="s">
        <v>35</v>
      </c>
      <c r="U5" s="92" t="n">
        <v>44867</v>
      </c>
      <c r="V5" s="90" t="n">
        <f aca="false">U5-F5</f>
        <v>56</v>
      </c>
      <c r="W5" s="90" t="s">
        <v>66</v>
      </c>
      <c r="X5" s="18" t="s">
        <v>67</v>
      </c>
      <c r="Y5" s="18" t="s">
        <v>68</v>
      </c>
    </row>
    <row r="6" s="29" customFormat="true" ht="15" hidden="false" customHeight="true" outlineLevel="0" collapsed="false">
      <c r="A6" s="18"/>
      <c r="B6" s="90"/>
      <c r="C6" s="90"/>
      <c r="D6" s="91"/>
      <c r="E6" s="90"/>
      <c r="F6" s="92"/>
      <c r="G6" s="93"/>
      <c r="H6" s="92"/>
      <c r="I6" s="94"/>
      <c r="J6" s="94"/>
      <c r="K6" s="95"/>
      <c r="L6" s="28" t="s">
        <v>48</v>
      </c>
      <c r="M6" s="29" t="s">
        <v>49</v>
      </c>
      <c r="N6" s="30" t="n">
        <v>19000000000000</v>
      </c>
      <c r="O6" s="31" t="n">
        <v>180000000000</v>
      </c>
      <c r="P6" s="90"/>
      <c r="Q6" s="90"/>
      <c r="R6" s="90"/>
      <c r="S6" s="93"/>
      <c r="T6" s="90"/>
      <c r="U6" s="92"/>
      <c r="V6" s="90"/>
      <c r="W6" s="90"/>
      <c r="X6" s="18"/>
      <c r="Y6" s="18"/>
    </row>
    <row r="7" s="29" customFormat="true" ht="15" hidden="false" customHeight="true" outlineLevel="0" collapsed="false">
      <c r="A7" s="90" t="n">
        <v>3</v>
      </c>
      <c r="B7" s="90" t="s">
        <v>64</v>
      </c>
      <c r="C7" s="90" t="s">
        <v>26</v>
      </c>
      <c r="D7" s="91" t="n">
        <v>652445</v>
      </c>
      <c r="E7" s="90" t="s">
        <v>27</v>
      </c>
      <c r="F7" s="92" t="n">
        <v>44811</v>
      </c>
      <c r="G7" s="93" t="s">
        <v>28</v>
      </c>
      <c r="H7" s="92" t="n">
        <v>44846</v>
      </c>
      <c r="I7" s="90"/>
      <c r="J7" s="90"/>
      <c r="K7" s="95" t="n">
        <f aca="false">H7-F7</f>
        <v>35</v>
      </c>
      <c r="L7" s="18" t="s">
        <v>30</v>
      </c>
      <c r="M7" s="24" t="s">
        <v>31</v>
      </c>
      <c r="N7" s="26" t="n">
        <v>41300000000000</v>
      </c>
      <c r="O7" s="96" t="n">
        <v>3000000000</v>
      </c>
      <c r="P7" s="90" t="s">
        <v>32</v>
      </c>
      <c r="Q7" s="90" t="s">
        <v>33</v>
      </c>
      <c r="R7" s="90" t="s">
        <v>36</v>
      </c>
      <c r="S7" s="93" t="s">
        <v>28</v>
      </c>
      <c r="T7" s="90" t="s">
        <v>35</v>
      </c>
      <c r="U7" s="92" t="n">
        <v>44867</v>
      </c>
      <c r="V7" s="90" t="n">
        <f aca="false">U7-F7</f>
        <v>56</v>
      </c>
      <c r="W7" s="90" t="s">
        <v>36</v>
      </c>
      <c r="X7" s="90" t="s">
        <v>69</v>
      </c>
      <c r="Y7" s="90" t="s">
        <v>68</v>
      </c>
    </row>
    <row r="8" s="29" customFormat="true" ht="15" hidden="false" customHeight="true" outlineLevel="0" collapsed="false">
      <c r="A8" s="90"/>
      <c r="B8" s="90"/>
      <c r="C8" s="90"/>
      <c r="D8" s="91"/>
      <c r="E8" s="90"/>
      <c r="F8" s="92"/>
      <c r="G8" s="93"/>
      <c r="H8" s="92"/>
      <c r="I8" s="90"/>
      <c r="J8" s="90"/>
      <c r="K8" s="95"/>
      <c r="L8" s="97" t="s">
        <v>48</v>
      </c>
      <c r="M8" s="98" t="s">
        <v>49</v>
      </c>
      <c r="N8" s="31" t="n">
        <v>19000000000000</v>
      </c>
      <c r="O8" s="99" t="n">
        <v>180000000000</v>
      </c>
      <c r="P8" s="90"/>
      <c r="Q8" s="90"/>
      <c r="R8" s="90"/>
      <c r="S8" s="93"/>
      <c r="T8" s="90"/>
      <c r="U8" s="92"/>
      <c r="V8" s="90"/>
      <c r="W8" s="90"/>
      <c r="X8" s="90"/>
      <c r="Y8" s="90"/>
    </row>
    <row r="9" customFormat="false" ht="15" hidden="false" customHeight="true" outlineLevel="0" collapsed="false">
      <c r="A9" s="3" t="n">
        <v>4</v>
      </c>
      <c r="B9" s="3" t="s">
        <v>64</v>
      </c>
      <c r="C9" s="3" t="s">
        <v>26</v>
      </c>
      <c r="D9" s="60" t="n">
        <v>652446</v>
      </c>
      <c r="E9" s="3" t="s">
        <v>27</v>
      </c>
      <c r="F9" s="5" t="n">
        <v>44811</v>
      </c>
      <c r="G9" s="6" t="s">
        <v>28</v>
      </c>
      <c r="H9" s="5" t="n">
        <v>44846</v>
      </c>
      <c r="I9" s="7"/>
      <c r="J9" s="7"/>
      <c r="K9" s="74" t="n">
        <f aca="false">H9-F9</f>
        <v>35</v>
      </c>
      <c r="L9" s="9" t="s">
        <v>30</v>
      </c>
      <c r="M9" s="10" t="s">
        <v>31</v>
      </c>
      <c r="N9" s="11" t="n">
        <v>41300000000000</v>
      </c>
      <c r="O9" s="12" t="n">
        <v>3000000000</v>
      </c>
      <c r="P9" s="3" t="s">
        <v>32</v>
      </c>
      <c r="Q9" s="3" t="s">
        <v>33</v>
      </c>
      <c r="R9" s="3" t="s">
        <v>70</v>
      </c>
      <c r="S9" s="6" t="s">
        <v>28</v>
      </c>
      <c r="T9" s="3" t="s">
        <v>35</v>
      </c>
      <c r="U9" s="5" t="n">
        <v>44867</v>
      </c>
      <c r="V9" s="3" t="n">
        <f aca="false">U9-F9</f>
        <v>56</v>
      </c>
      <c r="W9" s="3" t="s">
        <v>36</v>
      </c>
      <c r="X9" s="3" t="s">
        <v>69</v>
      </c>
      <c r="Y9" s="3"/>
    </row>
    <row r="10" customFormat="false" ht="15" hidden="false" customHeight="true" outlineLevel="0" collapsed="false">
      <c r="A10" s="3"/>
      <c r="B10" s="3"/>
      <c r="C10" s="3"/>
      <c r="D10" s="60"/>
      <c r="E10" s="3"/>
      <c r="F10" s="5"/>
      <c r="G10" s="6"/>
      <c r="H10" s="5"/>
      <c r="I10" s="7"/>
      <c r="J10" s="7"/>
      <c r="K10" s="74"/>
      <c r="L10" s="15" t="s">
        <v>48</v>
      </c>
      <c r="M10" s="14" t="s">
        <v>49</v>
      </c>
      <c r="N10" s="16" t="n">
        <v>19000000000000</v>
      </c>
      <c r="O10" s="17" t="n">
        <v>180000000000</v>
      </c>
      <c r="P10" s="3"/>
      <c r="Q10" s="3"/>
      <c r="R10" s="3"/>
      <c r="S10" s="6"/>
      <c r="T10" s="3"/>
      <c r="U10" s="5"/>
      <c r="V10" s="3"/>
      <c r="W10" s="3"/>
      <c r="X10" s="3"/>
      <c r="Y10" s="3"/>
    </row>
    <row r="11" s="29" customFormat="true" ht="15" hidden="false" customHeight="true" outlineLevel="0" collapsed="false">
      <c r="A11" s="90" t="n">
        <v>5</v>
      </c>
      <c r="B11" s="90" t="s">
        <v>71</v>
      </c>
      <c r="C11" s="90" t="s">
        <v>26</v>
      </c>
      <c r="D11" s="100" t="n">
        <v>653980</v>
      </c>
      <c r="E11" s="90" t="s">
        <v>27</v>
      </c>
      <c r="F11" s="92" t="n">
        <v>44845</v>
      </c>
      <c r="G11" s="93" t="s">
        <v>28</v>
      </c>
      <c r="H11" s="92" t="n">
        <v>44880</v>
      </c>
      <c r="I11" s="94"/>
      <c r="J11" s="94"/>
      <c r="K11" s="95" t="n">
        <f aca="false">H11-F11</f>
        <v>35</v>
      </c>
      <c r="L11" s="18" t="s">
        <v>30</v>
      </c>
      <c r="M11" s="24" t="s">
        <v>31</v>
      </c>
      <c r="N11" s="25" t="n">
        <v>41300000000000</v>
      </c>
      <c r="O11" s="26" t="n">
        <v>3000000000</v>
      </c>
      <c r="P11" s="90" t="s">
        <v>32</v>
      </c>
      <c r="Q11" s="90" t="s">
        <v>33</v>
      </c>
      <c r="R11" s="90" t="s">
        <v>36</v>
      </c>
      <c r="S11" s="93" t="s">
        <v>28</v>
      </c>
      <c r="T11" s="90" t="s">
        <v>35</v>
      </c>
      <c r="U11" s="92" t="n">
        <v>44930</v>
      </c>
      <c r="V11" s="90" t="n">
        <f aca="false">U11-F11</f>
        <v>85</v>
      </c>
      <c r="W11" s="90" t="s">
        <v>36</v>
      </c>
      <c r="X11" s="18" t="s">
        <v>72</v>
      </c>
      <c r="Y11" s="18"/>
    </row>
    <row r="12" s="29" customFormat="true" ht="15" hidden="false" customHeight="true" outlineLevel="0" collapsed="false">
      <c r="A12" s="90"/>
      <c r="B12" s="90"/>
      <c r="C12" s="90"/>
      <c r="D12" s="100"/>
      <c r="E12" s="90"/>
      <c r="F12" s="92"/>
      <c r="G12" s="93"/>
      <c r="H12" s="92"/>
      <c r="I12" s="94"/>
      <c r="J12" s="94"/>
      <c r="K12" s="95"/>
      <c r="L12" s="28" t="s">
        <v>39</v>
      </c>
      <c r="M12" s="29" t="s">
        <v>40</v>
      </c>
      <c r="N12" s="30" t="n">
        <v>43800000000000</v>
      </c>
      <c r="O12" s="31" t="n">
        <v>180000000000</v>
      </c>
      <c r="P12" s="90"/>
      <c r="Q12" s="90"/>
      <c r="R12" s="90"/>
      <c r="S12" s="93"/>
      <c r="T12" s="90"/>
      <c r="U12" s="92"/>
      <c r="V12" s="90"/>
      <c r="W12" s="90"/>
      <c r="X12" s="18"/>
      <c r="Y12" s="18"/>
    </row>
    <row r="13" s="29" customFormat="true" ht="15" hidden="false" customHeight="true" outlineLevel="0" collapsed="false">
      <c r="A13" s="90" t="n">
        <v>6</v>
      </c>
      <c r="B13" s="90" t="s">
        <v>71</v>
      </c>
      <c r="C13" s="90" t="s">
        <v>26</v>
      </c>
      <c r="D13" s="100" t="n">
        <v>653981</v>
      </c>
      <c r="E13" s="90" t="s">
        <v>27</v>
      </c>
      <c r="F13" s="92" t="n">
        <v>44845</v>
      </c>
      <c r="G13" s="93" t="s">
        <v>28</v>
      </c>
      <c r="H13" s="92" t="n">
        <v>44880</v>
      </c>
      <c r="I13" s="90"/>
      <c r="J13" s="90"/>
      <c r="K13" s="95" t="n">
        <f aca="false">H13-F13</f>
        <v>35</v>
      </c>
      <c r="L13" s="18" t="s">
        <v>30</v>
      </c>
      <c r="M13" s="24" t="s">
        <v>31</v>
      </c>
      <c r="N13" s="26" t="n">
        <v>41300000000000</v>
      </c>
      <c r="O13" s="96" t="n">
        <v>3000000000</v>
      </c>
      <c r="P13" s="90" t="s">
        <v>32</v>
      </c>
      <c r="Q13" s="90" t="s">
        <v>33</v>
      </c>
      <c r="R13" s="90" t="s">
        <v>36</v>
      </c>
      <c r="S13" s="93" t="s">
        <v>28</v>
      </c>
      <c r="T13" s="90" t="s">
        <v>35</v>
      </c>
      <c r="U13" s="92" t="n">
        <v>44930</v>
      </c>
      <c r="V13" s="90" t="n">
        <f aca="false">U13-F13</f>
        <v>85</v>
      </c>
      <c r="W13" s="90" t="s">
        <v>36</v>
      </c>
      <c r="X13" s="90" t="s">
        <v>72</v>
      </c>
      <c r="Y13" s="90"/>
    </row>
    <row r="14" s="29" customFormat="true" ht="15" hidden="false" customHeight="true" outlineLevel="0" collapsed="false">
      <c r="A14" s="90"/>
      <c r="B14" s="90"/>
      <c r="C14" s="90"/>
      <c r="D14" s="100"/>
      <c r="E14" s="90"/>
      <c r="F14" s="92"/>
      <c r="G14" s="93"/>
      <c r="H14" s="92"/>
      <c r="I14" s="90"/>
      <c r="J14" s="90"/>
      <c r="K14" s="95"/>
      <c r="L14" s="97" t="s">
        <v>39</v>
      </c>
      <c r="M14" s="98" t="s">
        <v>40</v>
      </c>
      <c r="N14" s="31" t="n">
        <v>43800000000000</v>
      </c>
      <c r="O14" s="99" t="n">
        <v>180000000000</v>
      </c>
      <c r="P14" s="90"/>
      <c r="Q14" s="90"/>
      <c r="R14" s="90"/>
      <c r="S14" s="93"/>
      <c r="T14" s="90"/>
      <c r="U14" s="92"/>
      <c r="V14" s="90"/>
      <c r="W14" s="90"/>
      <c r="X14" s="90"/>
      <c r="Y14" s="90"/>
    </row>
    <row r="15" customFormat="false" ht="15" hidden="false" customHeight="true" outlineLevel="0" collapsed="false">
      <c r="A15" s="3" t="n">
        <v>7</v>
      </c>
      <c r="B15" s="3" t="s">
        <v>64</v>
      </c>
      <c r="C15" s="3" t="s">
        <v>26</v>
      </c>
      <c r="D15" s="68" t="n">
        <v>653983</v>
      </c>
      <c r="E15" s="3" t="s">
        <v>45</v>
      </c>
      <c r="F15" s="5" t="n">
        <v>44845</v>
      </c>
      <c r="G15" s="6" t="s">
        <v>28</v>
      </c>
      <c r="H15" s="5" t="n">
        <v>44880</v>
      </c>
      <c r="I15" s="7"/>
      <c r="J15" s="7"/>
      <c r="K15" s="74" t="n">
        <f aca="false">H15-F15</f>
        <v>35</v>
      </c>
      <c r="L15" s="9" t="s">
        <v>30</v>
      </c>
      <c r="M15" s="10" t="s">
        <v>31</v>
      </c>
      <c r="N15" s="11" t="n">
        <v>41300000000000</v>
      </c>
      <c r="O15" s="12" t="n">
        <v>3000000000</v>
      </c>
      <c r="P15" s="3" t="s">
        <v>32</v>
      </c>
      <c r="Q15" s="3" t="s">
        <v>33</v>
      </c>
      <c r="R15" s="3" t="s">
        <v>36</v>
      </c>
      <c r="S15" s="6" t="s">
        <v>28</v>
      </c>
      <c r="T15" s="3" t="s">
        <v>35</v>
      </c>
      <c r="U15" s="5" t="n">
        <v>44930</v>
      </c>
      <c r="V15" s="3" t="n">
        <f aca="false">U15-F15</f>
        <v>85</v>
      </c>
      <c r="W15" s="3" t="s">
        <v>36</v>
      </c>
      <c r="X15" s="3" t="s">
        <v>37</v>
      </c>
      <c r="Y15" s="3"/>
    </row>
    <row r="16" customFormat="false" ht="15" hidden="false" customHeight="true" outlineLevel="0" collapsed="false">
      <c r="A16" s="3"/>
      <c r="B16" s="3"/>
      <c r="C16" s="3"/>
      <c r="D16" s="68"/>
      <c r="E16" s="3"/>
      <c r="F16" s="5"/>
      <c r="G16" s="6"/>
      <c r="H16" s="5"/>
      <c r="I16" s="7"/>
      <c r="J16" s="7"/>
      <c r="K16" s="74"/>
      <c r="L16" s="15" t="s">
        <v>39</v>
      </c>
      <c r="M16" s="14" t="s">
        <v>40</v>
      </c>
      <c r="N16" s="16" t="n">
        <v>43800000000000</v>
      </c>
      <c r="O16" s="17" t="n">
        <v>180000000000</v>
      </c>
      <c r="P16" s="3"/>
      <c r="Q16" s="3"/>
      <c r="R16" s="3"/>
      <c r="S16" s="6"/>
      <c r="T16" s="3"/>
      <c r="U16" s="5"/>
      <c r="V16" s="3"/>
      <c r="W16" s="3"/>
      <c r="X16" s="3"/>
      <c r="Y16" s="3"/>
    </row>
    <row r="17" customFormat="false" ht="15" hidden="false" customHeight="true" outlineLevel="0" collapsed="false">
      <c r="A17" s="3" t="n">
        <v>8</v>
      </c>
      <c r="B17" s="3" t="s">
        <v>64</v>
      </c>
      <c r="C17" s="3" t="s">
        <v>26</v>
      </c>
      <c r="D17" s="68" t="n">
        <v>653984</v>
      </c>
      <c r="E17" s="3" t="s">
        <v>45</v>
      </c>
      <c r="F17" s="5" t="n">
        <v>44845</v>
      </c>
      <c r="G17" s="6" t="s">
        <v>28</v>
      </c>
      <c r="H17" s="5" t="n">
        <v>44880</v>
      </c>
      <c r="I17" s="67"/>
      <c r="J17" s="67"/>
      <c r="K17" s="74" t="n">
        <f aca="false">H17-F17</f>
        <v>35</v>
      </c>
      <c r="L17" s="9" t="s">
        <v>30</v>
      </c>
      <c r="M17" s="10" t="s">
        <v>31</v>
      </c>
      <c r="N17" s="11" t="n">
        <v>41300000000000</v>
      </c>
      <c r="O17" s="12" t="n">
        <v>3000000000</v>
      </c>
      <c r="P17" s="3" t="s">
        <v>32</v>
      </c>
      <c r="Q17" s="3" t="s">
        <v>33</v>
      </c>
      <c r="R17" s="3" t="s">
        <v>36</v>
      </c>
      <c r="S17" s="6" t="s">
        <v>28</v>
      </c>
      <c r="T17" s="3" t="s">
        <v>35</v>
      </c>
      <c r="U17" s="5" t="n">
        <v>44930</v>
      </c>
      <c r="V17" s="3" t="n">
        <f aca="false">U17-F17</f>
        <v>85</v>
      </c>
      <c r="W17" s="3" t="s">
        <v>73</v>
      </c>
      <c r="X17" s="9" t="s">
        <v>37</v>
      </c>
      <c r="Y17" s="9"/>
    </row>
    <row r="18" customFormat="false" ht="15" hidden="false" customHeight="true" outlineLevel="0" collapsed="false">
      <c r="A18" s="3"/>
      <c r="B18" s="3"/>
      <c r="C18" s="3"/>
      <c r="D18" s="68"/>
      <c r="E18" s="3"/>
      <c r="F18" s="5"/>
      <c r="G18" s="6"/>
      <c r="H18" s="5"/>
      <c r="I18" s="67"/>
      <c r="J18" s="67"/>
      <c r="K18" s="74"/>
      <c r="L18" s="15" t="s">
        <v>39</v>
      </c>
      <c r="M18" s="14" t="s">
        <v>40</v>
      </c>
      <c r="N18" s="16" t="n">
        <v>43800000000000</v>
      </c>
      <c r="O18" s="52" t="n">
        <v>180000000000</v>
      </c>
      <c r="P18" s="3"/>
      <c r="Q18" s="3"/>
      <c r="R18" s="3"/>
      <c r="S18" s="6"/>
      <c r="T18" s="3"/>
      <c r="U18" s="5"/>
      <c r="V18" s="3"/>
      <c r="W18" s="3"/>
      <c r="X18" s="9"/>
      <c r="Y18" s="9"/>
    </row>
    <row r="19" s="29" customFormat="true" ht="15" hidden="false" customHeight="true" outlineLevel="0" collapsed="false">
      <c r="A19" s="90" t="n">
        <v>9</v>
      </c>
      <c r="B19" s="90" t="s">
        <v>74</v>
      </c>
      <c r="C19" s="90" t="s">
        <v>26</v>
      </c>
      <c r="D19" s="100" t="n">
        <v>660949</v>
      </c>
      <c r="E19" s="90" t="s">
        <v>27</v>
      </c>
      <c r="F19" s="92" t="n">
        <v>44902</v>
      </c>
      <c r="G19" s="93" t="s">
        <v>28</v>
      </c>
      <c r="H19" s="92" t="n">
        <v>44936</v>
      </c>
      <c r="I19" s="90"/>
      <c r="J19" s="90"/>
      <c r="K19" s="95" t="n">
        <f aca="false">H19-F19</f>
        <v>34</v>
      </c>
      <c r="L19" s="18" t="s">
        <v>30</v>
      </c>
      <c r="M19" s="24" t="s">
        <v>31</v>
      </c>
      <c r="N19" s="26" t="n">
        <v>41300000000000</v>
      </c>
      <c r="O19" s="96" t="n">
        <v>600000000</v>
      </c>
      <c r="P19" s="90" t="s">
        <v>32</v>
      </c>
      <c r="Q19" s="90" t="s">
        <v>33</v>
      </c>
      <c r="R19" s="90" t="s">
        <v>34</v>
      </c>
      <c r="S19" s="93" t="s">
        <v>28</v>
      </c>
      <c r="T19" s="90" t="s">
        <v>35</v>
      </c>
      <c r="U19" s="92" t="n">
        <v>44978</v>
      </c>
      <c r="V19" s="90" t="n">
        <f aca="false">U19-F19</f>
        <v>76</v>
      </c>
      <c r="W19" s="90" t="s">
        <v>36</v>
      </c>
      <c r="X19" s="90" t="s">
        <v>37</v>
      </c>
      <c r="Y19" s="90" t="s">
        <v>38</v>
      </c>
    </row>
    <row r="20" s="29" customFormat="true" ht="15" hidden="false" customHeight="true" outlineLevel="0" collapsed="false">
      <c r="A20" s="90"/>
      <c r="B20" s="90"/>
      <c r="C20" s="90"/>
      <c r="D20" s="100"/>
      <c r="E20" s="90"/>
      <c r="F20" s="92"/>
      <c r="G20" s="93"/>
      <c r="H20" s="92"/>
      <c r="I20" s="90"/>
      <c r="J20" s="90"/>
      <c r="K20" s="95"/>
      <c r="L20" s="97" t="s">
        <v>39</v>
      </c>
      <c r="M20" s="98" t="s">
        <v>40</v>
      </c>
      <c r="N20" s="31" t="n">
        <v>43800000000000</v>
      </c>
      <c r="O20" s="99" t="n">
        <v>180000000000</v>
      </c>
      <c r="P20" s="90"/>
      <c r="Q20" s="90"/>
      <c r="R20" s="90"/>
      <c r="S20" s="93"/>
      <c r="T20" s="90"/>
      <c r="U20" s="92"/>
      <c r="V20" s="90"/>
      <c r="W20" s="90"/>
      <c r="X20" s="90"/>
      <c r="Y20" s="90"/>
    </row>
    <row r="21" s="29" customFormat="true" ht="15" hidden="false" customHeight="true" outlineLevel="0" collapsed="false">
      <c r="A21" s="90" t="n">
        <v>10</v>
      </c>
      <c r="B21" s="90" t="s">
        <v>74</v>
      </c>
      <c r="C21" s="90" t="s">
        <v>26</v>
      </c>
      <c r="D21" s="100" t="n">
        <v>660950</v>
      </c>
      <c r="E21" s="90" t="s">
        <v>27</v>
      </c>
      <c r="F21" s="92" t="n">
        <v>44902</v>
      </c>
      <c r="G21" s="93" t="s">
        <v>28</v>
      </c>
      <c r="H21" s="92" t="n">
        <v>44936</v>
      </c>
      <c r="I21" s="101"/>
      <c r="J21" s="101"/>
      <c r="K21" s="95" t="n">
        <f aca="false">H21-F21</f>
        <v>34</v>
      </c>
      <c r="L21" s="18" t="s">
        <v>30</v>
      </c>
      <c r="M21" s="24" t="s">
        <v>31</v>
      </c>
      <c r="N21" s="25" t="n">
        <v>41300000000000</v>
      </c>
      <c r="O21" s="26" t="n">
        <v>600000000</v>
      </c>
      <c r="P21" s="90" t="s">
        <v>32</v>
      </c>
      <c r="Q21" s="90" t="s">
        <v>33</v>
      </c>
      <c r="R21" s="90" t="s">
        <v>34</v>
      </c>
      <c r="S21" s="93" t="s">
        <v>28</v>
      </c>
      <c r="T21" s="90" t="s">
        <v>35</v>
      </c>
      <c r="U21" s="92" t="n">
        <v>44978</v>
      </c>
      <c r="V21" s="90" t="n">
        <f aca="false">U21-F21</f>
        <v>76</v>
      </c>
      <c r="W21" s="90" t="s">
        <v>36</v>
      </c>
      <c r="X21" s="90" t="s">
        <v>37</v>
      </c>
      <c r="Y21" s="90" t="s">
        <v>38</v>
      </c>
    </row>
    <row r="22" s="29" customFormat="true" ht="15" hidden="false" customHeight="true" outlineLevel="0" collapsed="false">
      <c r="A22" s="90"/>
      <c r="B22" s="90"/>
      <c r="C22" s="90"/>
      <c r="D22" s="100"/>
      <c r="E22" s="90"/>
      <c r="F22" s="92"/>
      <c r="G22" s="93"/>
      <c r="H22" s="92"/>
      <c r="I22" s="101"/>
      <c r="J22" s="101"/>
      <c r="K22" s="95"/>
      <c r="L22" s="28" t="s">
        <v>39</v>
      </c>
      <c r="M22" s="29" t="s">
        <v>40</v>
      </c>
      <c r="N22" s="30" t="n">
        <v>43800000000000</v>
      </c>
      <c r="O22" s="102" t="n">
        <v>180000000000</v>
      </c>
      <c r="P22" s="90"/>
      <c r="Q22" s="90"/>
      <c r="R22" s="90"/>
      <c r="S22" s="93"/>
      <c r="T22" s="90"/>
      <c r="U22" s="92"/>
      <c r="V22" s="90"/>
      <c r="W22" s="90"/>
      <c r="X22" s="90"/>
      <c r="Y22" s="90"/>
    </row>
    <row r="23" customFormat="false" ht="15" hidden="false" customHeight="true" outlineLevel="0" collapsed="false">
      <c r="A23" s="3"/>
      <c r="B23" s="103" t="s">
        <v>75</v>
      </c>
      <c r="C23" s="3"/>
      <c r="D23" s="4"/>
      <c r="E23" s="3"/>
      <c r="F23" s="5"/>
      <c r="G23" s="6"/>
      <c r="H23" s="5"/>
      <c r="I23" s="67"/>
      <c r="J23" s="67"/>
      <c r="K23" s="74"/>
      <c r="L23" s="9"/>
      <c r="M23" s="10"/>
      <c r="N23" s="11"/>
      <c r="O23" s="12"/>
      <c r="P23" s="3"/>
      <c r="Q23" s="3"/>
      <c r="R23" s="3"/>
      <c r="S23" s="6"/>
      <c r="T23" s="3"/>
      <c r="U23" s="5"/>
      <c r="V23" s="3"/>
      <c r="W23" s="3"/>
      <c r="X23" s="9"/>
      <c r="Y23" s="9"/>
    </row>
    <row r="24" customFormat="false" ht="15" hidden="false" customHeight="true" outlineLevel="0" collapsed="false">
      <c r="A24" s="3"/>
      <c r="B24" s="103"/>
      <c r="C24" s="103"/>
      <c r="D24" s="4"/>
      <c r="E24" s="3"/>
      <c r="F24" s="5"/>
      <c r="G24" s="6"/>
      <c r="H24" s="5"/>
      <c r="I24" s="67"/>
      <c r="J24" s="67"/>
      <c r="K24" s="74"/>
      <c r="L24" s="15"/>
      <c r="N24" s="16"/>
      <c r="O24" s="52"/>
      <c r="P24" s="3"/>
      <c r="Q24" s="3"/>
      <c r="R24" s="3"/>
      <c r="S24" s="6"/>
      <c r="T24" s="3"/>
      <c r="U24" s="5"/>
      <c r="V24" s="3"/>
      <c r="W24" s="3"/>
      <c r="X24" s="9"/>
      <c r="Y24" s="9"/>
    </row>
    <row r="25" s="112" customFormat="true" ht="15" hidden="false" customHeight="true" outlineLevel="0" collapsed="false">
      <c r="A25" s="104"/>
      <c r="B25" s="104" t="s">
        <v>76</v>
      </c>
      <c r="C25" s="104"/>
      <c r="D25" s="105"/>
      <c r="E25" s="104"/>
      <c r="F25" s="106"/>
      <c r="G25" s="107"/>
      <c r="H25" s="106"/>
      <c r="I25" s="104"/>
      <c r="J25" s="104"/>
      <c r="K25" s="104"/>
      <c r="L25" s="108"/>
      <c r="M25" s="109"/>
      <c r="N25" s="110"/>
      <c r="O25" s="111"/>
      <c r="P25" s="104"/>
      <c r="Q25" s="104"/>
      <c r="R25" s="104"/>
      <c r="S25" s="107"/>
      <c r="T25" s="104"/>
      <c r="U25" s="106"/>
      <c r="V25" s="104"/>
      <c r="W25" s="104"/>
      <c r="X25" s="104"/>
      <c r="Y25" s="104"/>
    </row>
    <row r="26" s="112" customFormat="true" ht="15" hidden="false" customHeight="true" outlineLevel="0" collapsed="false">
      <c r="A26" s="104"/>
      <c r="B26" s="104"/>
      <c r="C26" s="104"/>
      <c r="D26" s="105"/>
      <c r="E26" s="104"/>
      <c r="F26" s="106"/>
      <c r="G26" s="107"/>
      <c r="H26" s="106"/>
      <c r="I26" s="104"/>
      <c r="J26" s="104"/>
      <c r="K26" s="104"/>
      <c r="L26" s="113"/>
      <c r="M26" s="114"/>
      <c r="N26" s="115"/>
      <c r="O26" s="116"/>
      <c r="P26" s="104"/>
      <c r="Q26" s="104"/>
      <c r="R26" s="104"/>
      <c r="S26" s="107"/>
      <c r="T26" s="104"/>
      <c r="U26" s="106"/>
      <c r="V26" s="104"/>
      <c r="W26" s="104"/>
      <c r="X26" s="104"/>
      <c r="Y26" s="104"/>
    </row>
    <row r="27" customFormat="false" ht="15" hidden="false" customHeight="true" outlineLevel="0" collapsed="false">
      <c r="A27" s="3"/>
      <c r="B27" s="3"/>
      <c r="C27" s="3"/>
      <c r="D27" s="4"/>
      <c r="E27" s="3"/>
      <c r="F27" s="5"/>
      <c r="G27" s="6"/>
      <c r="H27" s="5"/>
      <c r="I27" s="7"/>
      <c r="J27" s="7"/>
      <c r="K27" s="8"/>
      <c r="L27" s="9"/>
      <c r="M27" s="10"/>
      <c r="N27" s="11"/>
      <c r="O27" s="12"/>
      <c r="P27" s="13"/>
      <c r="Q27" s="3"/>
      <c r="R27" s="3"/>
      <c r="S27" s="6"/>
      <c r="T27" s="3"/>
      <c r="U27" s="5"/>
      <c r="V27" s="3"/>
      <c r="W27" s="3"/>
      <c r="X27" s="3"/>
      <c r="Y27" s="3"/>
    </row>
    <row r="28" customFormat="false" ht="15" hidden="false" customHeight="true" outlineLevel="0" collapsed="false">
      <c r="A28" s="3"/>
      <c r="B28" s="3"/>
      <c r="C28" s="3"/>
      <c r="D28" s="4"/>
      <c r="E28" s="3"/>
      <c r="F28" s="5"/>
      <c r="G28" s="6"/>
      <c r="H28" s="5"/>
      <c r="I28" s="7"/>
      <c r="J28" s="7"/>
      <c r="K28" s="8"/>
      <c r="L28" s="15"/>
      <c r="N28" s="16"/>
      <c r="O28" s="17"/>
      <c r="P28" s="13"/>
      <c r="Q28" s="3"/>
      <c r="R28" s="3"/>
      <c r="S28" s="6"/>
      <c r="T28" s="3"/>
      <c r="U28" s="3"/>
      <c r="V28" s="3"/>
      <c r="W28" s="3"/>
      <c r="X28" s="3"/>
      <c r="Y28" s="3"/>
    </row>
    <row r="29" customFormat="false" ht="15" hidden="false" customHeight="true" outlineLevel="0" collapsed="false">
      <c r="A29" s="3"/>
      <c r="B29" s="9"/>
      <c r="C29" s="9"/>
      <c r="D29" s="46"/>
      <c r="E29" s="9"/>
      <c r="F29" s="47"/>
      <c r="G29" s="48"/>
      <c r="H29" s="47"/>
      <c r="I29" s="86"/>
      <c r="J29" s="86"/>
      <c r="K29" s="50"/>
      <c r="L29" s="9"/>
      <c r="M29" s="10"/>
      <c r="N29" s="11"/>
      <c r="O29" s="12"/>
      <c r="P29" s="51"/>
      <c r="Q29" s="9"/>
      <c r="R29" s="9"/>
      <c r="S29" s="48"/>
      <c r="T29" s="9"/>
      <c r="U29" s="47"/>
      <c r="V29" s="9"/>
      <c r="W29" s="9"/>
      <c r="X29" s="9"/>
      <c r="Y29" s="9"/>
    </row>
    <row r="30" customFormat="false" ht="15" hidden="false" customHeight="true" outlineLevel="0" collapsed="false">
      <c r="A30" s="3"/>
      <c r="B30" s="9"/>
      <c r="C30" s="9"/>
      <c r="D30" s="46"/>
      <c r="E30" s="9"/>
      <c r="F30" s="47"/>
      <c r="G30" s="48"/>
      <c r="H30" s="47"/>
      <c r="I30" s="86"/>
      <c r="J30" s="86"/>
      <c r="K30" s="50"/>
      <c r="L30" s="15"/>
      <c r="N30" s="16"/>
      <c r="O30" s="52"/>
      <c r="P30" s="51"/>
      <c r="Q30" s="9"/>
      <c r="R30" s="9"/>
      <c r="S30" s="48"/>
      <c r="T30" s="9"/>
      <c r="U30" s="9"/>
      <c r="V30" s="9"/>
      <c r="W30" s="9"/>
      <c r="X30" s="9"/>
      <c r="Y30" s="9"/>
    </row>
    <row r="31" customFormat="false" ht="15" hidden="false" customHeight="true" outlineLevel="0" collapsed="false">
      <c r="A31" s="3"/>
      <c r="B31" s="3"/>
      <c r="C31" s="3"/>
      <c r="D31" s="60"/>
      <c r="E31" s="3"/>
      <c r="F31" s="5"/>
      <c r="G31" s="6"/>
      <c r="H31" s="5"/>
      <c r="I31" s="3"/>
      <c r="J31" s="3"/>
      <c r="K31" s="75"/>
      <c r="L31" s="9"/>
      <c r="M31" s="10"/>
      <c r="N31" s="12"/>
      <c r="O31" s="73"/>
      <c r="P31" s="13"/>
      <c r="Q31" s="3"/>
      <c r="R31" s="3"/>
      <c r="S31" s="6"/>
      <c r="T31" s="3"/>
      <c r="U31" s="5"/>
      <c r="V31" s="3"/>
      <c r="W31" s="3"/>
      <c r="X31" s="3"/>
      <c r="Y31" s="3"/>
    </row>
    <row r="32" customFormat="false" ht="15" hidden="false" customHeight="true" outlineLevel="0" collapsed="false">
      <c r="A32" s="3"/>
      <c r="B32" s="3"/>
      <c r="C32" s="3"/>
      <c r="D32" s="60"/>
      <c r="E32" s="3"/>
      <c r="F32" s="5"/>
      <c r="G32" s="6"/>
      <c r="H32" s="5"/>
      <c r="I32" s="3"/>
      <c r="J32" s="3"/>
      <c r="K32" s="75"/>
      <c r="L32" s="42"/>
      <c r="M32" s="88"/>
      <c r="N32" s="52"/>
      <c r="O32" s="70"/>
      <c r="P32" s="13"/>
      <c r="Q32" s="3"/>
      <c r="R32" s="3"/>
      <c r="S32" s="6"/>
      <c r="T32" s="3"/>
      <c r="U32" s="5"/>
      <c r="V32" s="3"/>
      <c r="W32" s="3"/>
      <c r="X32" s="3"/>
      <c r="Y32" s="3"/>
    </row>
    <row r="33" customFormat="false" ht="15" hidden="false" customHeight="true" outlineLevel="0" collapsed="false">
      <c r="A33" s="3"/>
      <c r="B33" s="3"/>
      <c r="C33" s="3"/>
      <c r="D33" s="4"/>
      <c r="E33" s="3"/>
      <c r="F33" s="5"/>
      <c r="G33" s="6"/>
      <c r="H33" s="5"/>
      <c r="I33" s="7"/>
      <c r="J33" s="7"/>
      <c r="K33" s="8"/>
      <c r="L33" s="9"/>
      <c r="M33" s="10"/>
      <c r="N33" s="11"/>
      <c r="O33" s="12"/>
      <c r="P33" s="13"/>
      <c r="Q33" s="3"/>
      <c r="R33" s="3"/>
      <c r="S33" s="6"/>
      <c r="T33" s="3"/>
      <c r="U33" s="5"/>
      <c r="V33" s="3"/>
      <c r="W33" s="3"/>
      <c r="X33" s="3"/>
      <c r="Y33" s="3"/>
    </row>
    <row r="34" customFormat="false" ht="15" hidden="false" customHeight="true" outlineLevel="0" collapsed="false">
      <c r="A34" s="3"/>
      <c r="B34" s="3"/>
      <c r="C34" s="3"/>
      <c r="D34" s="4"/>
      <c r="E34" s="3"/>
      <c r="F34" s="5"/>
      <c r="G34" s="6"/>
      <c r="H34" s="5"/>
      <c r="I34" s="7"/>
      <c r="J34" s="7"/>
      <c r="K34" s="8"/>
      <c r="L34" s="15"/>
      <c r="N34" s="16"/>
      <c r="O34" s="17"/>
      <c r="P34" s="13"/>
      <c r="Q34" s="3"/>
      <c r="R34" s="3"/>
      <c r="S34" s="6"/>
      <c r="T34" s="3"/>
      <c r="U34" s="3"/>
      <c r="V34" s="3"/>
      <c r="W34" s="3"/>
      <c r="X34" s="3"/>
      <c r="Y34" s="3"/>
    </row>
    <row r="35" customFormat="false" ht="15" hidden="false" customHeight="true" outlineLevel="0" collapsed="false">
      <c r="A35" s="3"/>
      <c r="B35" s="9"/>
      <c r="C35" s="9"/>
      <c r="D35" s="46"/>
      <c r="E35" s="9"/>
      <c r="F35" s="47"/>
      <c r="G35" s="48"/>
      <c r="H35" s="47"/>
      <c r="I35" s="86"/>
      <c r="J35" s="86"/>
      <c r="K35" s="50"/>
      <c r="L35" s="9"/>
      <c r="M35" s="10"/>
      <c r="N35" s="11"/>
      <c r="O35" s="12"/>
      <c r="P35" s="51"/>
      <c r="Q35" s="9"/>
      <c r="R35" s="9"/>
      <c r="S35" s="48"/>
      <c r="T35" s="9"/>
      <c r="U35" s="47"/>
      <c r="V35" s="9"/>
      <c r="W35" s="9"/>
      <c r="X35" s="9"/>
      <c r="Y35" s="9"/>
    </row>
    <row r="36" customFormat="false" ht="15" hidden="false" customHeight="true" outlineLevel="0" collapsed="false">
      <c r="A36" s="3"/>
      <c r="B36" s="9"/>
      <c r="C36" s="9"/>
      <c r="D36" s="46"/>
      <c r="E36" s="9"/>
      <c r="F36" s="47"/>
      <c r="G36" s="48"/>
      <c r="H36" s="47"/>
      <c r="I36" s="86"/>
      <c r="J36" s="86"/>
      <c r="K36" s="50"/>
      <c r="L36" s="15"/>
      <c r="N36" s="16"/>
      <c r="O36" s="52"/>
      <c r="P36" s="51"/>
      <c r="Q36" s="9"/>
      <c r="R36" s="9"/>
      <c r="S36" s="48"/>
      <c r="T36" s="9"/>
      <c r="U36" s="9"/>
      <c r="V36" s="9"/>
      <c r="W36" s="9"/>
      <c r="X36" s="9"/>
      <c r="Y36" s="9"/>
    </row>
    <row r="37" customFormat="false" ht="15" hidden="false" customHeight="true" outlineLevel="0" collapsed="false">
      <c r="A37" s="3"/>
      <c r="B37" s="3"/>
      <c r="C37" s="3"/>
      <c r="D37" s="60"/>
      <c r="E37" s="3"/>
      <c r="F37" s="5"/>
      <c r="G37" s="6"/>
      <c r="H37" s="5"/>
      <c r="I37" s="3"/>
      <c r="J37" s="3"/>
      <c r="K37" s="75"/>
      <c r="L37" s="9"/>
      <c r="M37" s="10"/>
      <c r="N37" s="12"/>
      <c r="O37" s="73"/>
      <c r="P37" s="13"/>
      <c r="Q37" s="3"/>
      <c r="R37" s="3"/>
      <c r="S37" s="6"/>
      <c r="T37" s="3"/>
      <c r="U37" s="5"/>
      <c r="V37" s="3"/>
      <c r="W37" s="3"/>
      <c r="X37" s="3"/>
      <c r="Y37" s="3"/>
    </row>
    <row r="38" customFormat="false" ht="15" hidden="false" customHeight="true" outlineLevel="0" collapsed="false">
      <c r="A38" s="3"/>
      <c r="B38" s="3"/>
      <c r="C38" s="3"/>
      <c r="D38" s="60"/>
      <c r="E38" s="3"/>
      <c r="F38" s="5"/>
      <c r="G38" s="6"/>
      <c r="H38" s="5"/>
      <c r="I38" s="3"/>
      <c r="J38" s="3"/>
      <c r="K38" s="75"/>
      <c r="L38" s="42"/>
      <c r="M38" s="88"/>
      <c r="N38" s="52"/>
      <c r="O38" s="70"/>
      <c r="P38" s="13"/>
      <c r="Q38" s="3"/>
      <c r="R38" s="3"/>
      <c r="S38" s="6"/>
      <c r="T38" s="3"/>
      <c r="U38" s="5"/>
      <c r="V38" s="3"/>
      <c r="W38" s="3"/>
      <c r="X38" s="3"/>
      <c r="Y38" s="3"/>
    </row>
  </sheetData>
  <mergeCells count="378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01"/>
  <sheetViews>
    <sheetView showFormulas="false" showGridLines="true" showRowColHeaders="true" showZeros="true" rightToLeft="false" tabSelected="false" showOutlineSymbols="true" defaultGridColor="true" view="normal" topLeftCell="O1" colorId="64" zoomScale="100" zoomScaleNormal="100" zoomScalePageLayoutView="100" workbookViewId="0">
      <pane xSplit="0" ySplit="1" topLeftCell="A68" activePane="bottomLeft" state="frozen"/>
      <selection pane="topLeft" activeCell="O1" activeCellId="0" sqref="O1"/>
      <selection pane="bottomLeft" activeCell="B30" activeCellId="0" sqref="B30"/>
    </sheetView>
  </sheetViews>
  <sheetFormatPr defaultColWidth="9.15625" defaultRowHeight="37.5" zeroHeight="false" outlineLevelRow="0" outlineLevelCol="0"/>
  <cols>
    <col collapsed="false" customWidth="false" hidden="false" outlineLevel="0" max="1" min="1" style="117" width="9.14"/>
    <col collapsed="false" customWidth="true" hidden="false" outlineLevel="0" max="2" min="2" style="117" width="19.85"/>
    <col collapsed="false" customWidth="true" hidden="false" outlineLevel="0" max="3" min="3" style="117" width="34.58"/>
    <col collapsed="false" customWidth="true" hidden="false" outlineLevel="0" max="4" min="4" style="118" width="16.29"/>
    <col collapsed="false" customWidth="false" hidden="false" outlineLevel="0" max="5" min="5" style="117" width="9.14"/>
    <col collapsed="false" customWidth="true" hidden="false" outlineLevel="0" max="6" min="6" style="117" width="10.71"/>
    <col collapsed="false" customWidth="true" hidden="false" outlineLevel="0" max="7" min="7" style="117" width="13.86"/>
    <col collapsed="false" customWidth="true" hidden="false" outlineLevel="0" max="8" min="8" style="119" width="15"/>
    <col collapsed="false" customWidth="true" hidden="false" outlineLevel="0" max="9" min="9" style="119" width="16"/>
    <col collapsed="false" customWidth="true" hidden="false" outlineLevel="0" max="10" min="10" style="119" width="17.58"/>
    <col collapsed="false" customWidth="true" hidden="false" outlineLevel="0" max="11" min="11" style="117" width="13.57"/>
    <col collapsed="false" customWidth="true" hidden="false" outlineLevel="0" max="12" min="12" style="117" width="11.99"/>
    <col collapsed="false" customWidth="false" hidden="false" outlineLevel="0" max="14" min="13" style="117" width="9.14"/>
    <col collapsed="false" customWidth="true" hidden="false" outlineLevel="0" max="15" min="15" style="117" width="11.29"/>
    <col collapsed="false" customWidth="true" hidden="false" outlineLevel="0" max="16" min="16" style="117" width="10.42"/>
    <col collapsed="false" customWidth="true" hidden="false" outlineLevel="0" max="17" min="17" style="117" width="11.29"/>
    <col collapsed="false" customWidth="true" hidden="false" outlineLevel="0" max="18" min="18" style="117" width="17.86"/>
    <col collapsed="false" customWidth="true" hidden="false" outlineLevel="0" max="19" min="19" style="117" width="15.57"/>
    <col collapsed="false" customWidth="true" hidden="false" outlineLevel="0" max="20" min="20" style="117" width="23.71"/>
    <col collapsed="false" customWidth="true" hidden="false" outlineLevel="0" max="21" min="21" style="117" width="18.71"/>
    <col collapsed="false" customWidth="true" hidden="false" outlineLevel="0" max="22" min="22" style="117" width="15.86"/>
    <col collapsed="false" customWidth="true" hidden="false" outlineLevel="0" max="23" min="23" style="117" width="38.57"/>
    <col collapsed="false" customWidth="true" hidden="false" outlineLevel="0" max="24" min="24" style="117" width="23.01"/>
    <col collapsed="false" customWidth="true" hidden="false" outlineLevel="0" max="25" min="25" style="117" width="27.14"/>
    <col collapsed="false" customWidth="false" hidden="false" outlineLevel="0" max="1024" min="26" style="117" width="9.14"/>
  </cols>
  <sheetData>
    <row r="1" s="57" customFormat="true" ht="37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0" t="s">
        <v>7</v>
      </c>
      <c r="I1" s="120" t="s">
        <v>8</v>
      </c>
      <c r="J1" s="12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2.75" hidden="false" customHeight="true" outlineLevel="0" collapsed="false"/>
    <row r="3" s="121" customFormat="true" ht="37.5" hidden="false" customHeight="true" outlineLevel="0" collapsed="false">
      <c r="A3" s="90" t="n">
        <v>1</v>
      </c>
      <c r="B3" s="90" t="s">
        <v>77</v>
      </c>
      <c r="C3" s="90" t="s">
        <v>78</v>
      </c>
      <c r="D3" s="100" t="n">
        <v>603033</v>
      </c>
      <c r="E3" s="90" t="s">
        <v>27</v>
      </c>
      <c r="F3" s="92" t="n">
        <v>44463</v>
      </c>
      <c r="G3" s="93" t="s">
        <v>28</v>
      </c>
      <c r="H3" s="92" t="s">
        <v>29</v>
      </c>
      <c r="I3" s="92" t="n">
        <v>44498</v>
      </c>
      <c r="J3" s="92"/>
      <c r="K3" s="90" t="n">
        <f aca="false">I3-F3</f>
        <v>35</v>
      </c>
      <c r="L3" s="90"/>
      <c r="M3" s="90"/>
      <c r="N3" s="90"/>
      <c r="O3" s="90"/>
      <c r="P3" s="90"/>
      <c r="Q3" s="90"/>
      <c r="R3" s="90"/>
      <c r="S3" s="93" t="s">
        <v>28</v>
      </c>
      <c r="T3" s="90" t="s">
        <v>35</v>
      </c>
      <c r="U3" s="92" t="n">
        <v>44519</v>
      </c>
      <c r="V3" s="90" t="n">
        <f aca="false">U3-F3</f>
        <v>56</v>
      </c>
      <c r="W3" s="90" t="s">
        <v>36</v>
      </c>
      <c r="X3" s="90"/>
      <c r="Y3" s="101" t="s">
        <v>79</v>
      </c>
    </row>
    <row r="4" s="121" customFormat="true" ht="37.5" hidden="false" customHeight="true" outlineLevel="0" collapsed="false">
      <c r="A4" s="90" t="n">
        <v>2</v>
      </c>
      <c r="B4" s="90" t="s">
        <v>80</v>
      </c>
      <c r="C4" s="90" t="s">
        <v>78</v>
      </c>
      <c r="D4" s="100" t="n">
        <v>603034</v>
      </c>
      <c r="E4" s="90" t="s">
        <v>27</v>
      </c>
      <c r="F4" s="92" t="n">
        <v>44463</v>
      </c>
      <c r="G4" s="93" t="s">
        <v>28</v>
      </c>
      <c r="H4" s="92" t="s">
        <v>29</v>
      </c>
      <c r="I4" s="92" t="n">
        <v>44498</v>
      </c>
      <c r="J4" s="92"/>
      <c r="K4" s="90" t="n">
        <f aca="false">I4-F4</f>
        <v>35</v>
      </c>
      <c r="L4" s="90"/>
      <c r="M4" s="90"/>
      <c r="N4" s="90"/>
      <c r="O4" s="90"/>
      <c r="P4" s="90"/>
      <c r="Q4" s="90"/>
      <c r="R4" s="90"/>
      <c r="S4" s="93" t="s">
        <v>28</v>
      </c>
      <c r="T4" s="90" t="s">
        <v>35</v>
      </c>
      <c r="U4" s="92" t="n">
        <v>44519</v>
      </c>
      <c r="V4" s="90" t="n">
        <f aca="false">U4-F4</f>
        <v>56</v>
      </c>
      <c r="W4" s="90" t="s">
        <v>36</v>
      </c>
      <c r="X4" s="90"/>
      <c r="Y4" s="90"/>
    </row>
    <row r="5" s="121" customFormat="true" ht="37.5" hidden="false" customHeight="true" outlineLevel="0" collapsed="false">
      <c r="A5" s="90" t="n">
        <v>3</v>
      </c>
      <c r="B5" s="90" t="s">
        <v>80</v>
      </c>
      <c r="C5" s="90" t="s">
        <v>78</v>
      </c>
      <c r="D5" s="100" t="n">
        <v>603036</v>
      </c>
      <c r="E5" s="90" t="s">
        <v>27</v>
      </c>
      <c r="F5" s="92" t="n">
        <v>44463</v>
      </c>
      <c r="G5" s="93" t="s">
        <v>28</v>
      </c>
      <c r="H5" s="92" t="s">
        <v>29</v>
      </c>
      <c r="I5" s="92" t="n">
        <v>44498</v>
      </c>
      <c r="J5" s="92"/>
      <c r="K5" s="90" t="n">
        <f aca="false">I5-F5</f>
        <v>35</v>
      </c>
      <c r="L5" s="90"/>
      <c r="M5" s="90"/>
      <c r="N5" s="90"/>
      <c r="O5" s="90"/>
      <c r="P5" s="90"/>
      <c r="Q5" s="90"/>
      <c r="R5" s="90"/>
      <c r="S5" s="93" t="s">
        <v>28</v>
      </c>
      <c r="T5" s="90" t="s">
        <v>35</v>
      </c>
      <c r="U5" s="92" t="n">
        <v>44519</v>
      </c>
      <c r="V5" s="90" t="n">
        <f aca="false">U5-F5</f>
        <v>56</v>
      </c>
      <c r="W5" s="90" t="s">
        <v>36</v>
      </c>
      <c r="X5" s="90"/>
      <c r="Y5" s="90"/>
    </row>
    <row r="6" s="121" customFormat="true" ht="37.5" hidden="false" customHeight="true" outlineLevel="0" collapsed="false">
      <c r="A6" s="90" t="n">
        <v>4</v>
      </c>
      <c r="B6" s="90" t="s">
        <v>81</v>
      </c>
      <c r="C6" s="90" t="s">
        <v>78</v>
      </c>
      <c r="D6" s="100" t="n">
        <v>603037</v>
      </c>
      <c r="E6" s="90" t="s">
        <v>27</v>
      </c>
      <c r="F6" s="92" t="n">
        <v>44463</v>
      </c>
      <c r="G6" s="93" t="s">
        <v>28</v>
      </c>
      <c r="H6" s="92" t="s">
        <v>29</v>
      </c>
      <c r="I6" s="92" t="n">
        <v>44498</v>
      </c>
      <c r="J6" s="92"/>
      <c r="K6" s="90" t="n">
        <f aca="false">I6-F6</f>
        <v>35</v>
      </c>
      <c r="L6" s="90"/>
      <c r="M6" s="90"/>
      <c r="N6" s="90"/>
      <c r="O6" s="90"/>
      <c r="P6" s="90"/>
      <c r="Q6" s="90"/>
      <c r="R6" s="90"/>
      <c r="S6" s="93" t="s">
        <v>28</v>
      </c>
      <c r="T6" s="90" t="s">
        <v>35</v>
      </c>
      <c r="U6" s="92" t="n">
        <v>44519</v>
      </c>
      <c r="V6" s="90" t="n">
        <f aca="false">U6-F6</f>
        <v>56</v>
      </c>
      <c r="W6" s="90" t="s">
        <v>36</v>
      </c>
      <c r="X6" s="90"/>
      <c r="Y6" s="90" t="s">
        <v>82</v>
      </c>
    </row>
    <row r="7" s="121" customFormat="true" ht="37.5" hidden="false" customHeight="true" outlineLevel="0" collapsed="false">
      <c r="A7" s="90" t="n">
        <v>5</v>
      </c>
      <c r="B7" s="90" t="s">
        <v>80</v>
      </c>
      <c r="C7" s="90" t="s">
        <v>78</v>
      </c>
      <c r="D7" s="100" t="n">
        <v>603039</v>
      </c>
      <c r="E7" s="90" t="s">
        <v>45</v>
      </c>
      <c r="F7" s="92" t="n">
        <v>44463</v>
      </c>
      <c r="G7" s="93" t="s">
        <v>28</v>
      </c>
      <c r="H7" s="92" t="s">
        <v>29</v>
      </c>
      <c r="I7" s="92" t="n">
        <v>44498</v>
      </c>
      <c r="J7" s="92"/>
      <c r="K7" s="90" t="n">
        <f aca="false">I7-F7</f>
        <v>35</v>
      </c>
      <c r="L7" s="90"/>
      <c r="M7" s="90"/>
      <c r="N7" s="90"/>
      <c r="O7" s="90"/>
      <c r="P7" s="90"/>
      <c r="Q7" s="90"/>
      <c r="R7" s="90"/>
      <c r="S7" s="93" t="s">
        <v>28</v>
      </c>
      <c r="T7" s="90" t="s">
        <v>35</v>
      </c>
      <c r="U7" s="92" t="n">
        <v>44519</v>
      </c>
      <c r="V7" s="90" t="n">
        <f aca="false">U7-F7</f>
        <v>56</v>
      </c>
      <c r="W7" s="90" t="s">
        <v>36</v>
      </c>
      <c r="X7" s="90"/>
      <c r="Y7" s="90"/>
    </row>
    <row r="8" customFormat="false" ht="37.5" hidden="false" customHeight="true" outlineLevel="0" collapsed="false">
      <c r="A8" s="3" t="n">
        <v>6</v>
      </c>
      <c r="B8" s="3"/>
      <c r="C8" s="3" t="s">
        <v>78</v>
      </c>
      <c r="D8" s="68" t="n">
        <v>603040</v>
      </c>
      <c r="E8" s="3" t="s">
        <v>45</v>
      </c>
      <c r="F8" s="5" t="n">
        <v>44463</v>
      </c>
      <c r="G8" s="6" t="s">
        <v>28</v>
      </c>
      <c r="H8" s="5" t="s">
        <v>29</v>
      </c>
      <c r="I8" s="5" t="n">
        <v>44498</v>
      </c>
      <c r="J8" s="5"/>
      <c r="K8" s="3" t="n">
        <f aca="false">I8-F8</f>
        <v>35</v>
      </c>
      <c r="L8" s="3"/>
      <c r="M8" s="3"/>
      <c r="N8" s="3"/>
      <c r="O8" s="3"/>
      <c r="P8" s="3"/>
      <c r="Q8" s="3"/>
      <c r="R8" s="3"/>
      <c r="S8" s="6" t="s">
        <v>28</v>
      </c>
      <c r="T8" s="3" t="s">
        <v>35</v>
      </c>
      <c r="U8" s="5" t="n">
        <v>44519</v>
      </c>
      <c r="V8" s="3" t="n">
        <f aca="false">U8-F8</f>
        <v>56</v>
      </c>
      <c r="W8" s="3" t="s">
        <v>36</v>
      </c>
      <c r="X8" s="3"/>
      <c r="Y8" s="3"/>
    </row>
    <row r="9" customFormat="false" ht="37.5" hidden="false" customHeight="true" outlineLevel="0" collapsed="false">
      <c r="A9" s="3" t="n">
        <v>7</v>
      </c>
      <c r="B9" s="3"/>
      <c r="C9" s="3" t="s">
        <v>78</v>
      </c>
      <c r="D9" s="68" t="n">
        <v>605952</v>
      </c>
      <c r="E9" s="3" t="s">
        <v>27</v>
      </c>
      <c r="F9" s="5" t="n">
        <v>44484</v>
      </c>
      <c r="G9" s="6" t="s">
        <v>28</v>
      </c>
      <c r="H9" s="5" t="s">
        <v>29</v>
      </c>
      <c r="I9" s="5" t="n">
        <v>44519</v>
      </c>
      <c r="J9" s="5"/>
      <c r="K9" s="3" t="n">
        <f aca="false">I9-F9</f>
        <v>35</v>
      </c>
      <c r="L9" s="3"/>
      <c r="M9" s="3"/>
      <c r="N9" s="3"/>
      <c r="O9" s="3"/>
      <c r="P9" s="3"/>
      <c r="Q9" s="3"/>
      <c r="R9" s="3"/>
      <c r="S9" s="6" t="s">
        <v>28</v>
      </c>
      <c r="T9" s="3" t="s">
        <v>35</v>
      </c>
      <c r="U9" s="5" t="n">
        <v>44540</v>
      </c>
      <c r="V9" s="3" t="n">
        <f aca="false">U9-F9</f>
        <v>56</v>
      </c>
      <c r="W9" s="3" t="s">
        <v>36</v>
      </c>
      <c r="X9" s="3"/>
      <c r="Y9" s="3"/>
    </row>
    <row r="10" customFormat="false" ht="37.5" hidden="false" customHeight="true" outlineLevel="0" collapsed="false">
      <c r="A10" s="3" t="n">
        <v>8</v>
      </c>
      <c r="B10" s="3"/>
      <c r="C10" s="3" t="s">
        <v>78</v>
      </c>
      <c r="D10" s="68" t="n">
        <v>605955</v>
      </c>
      <c r="E10" s="3" t="s">
        <v>45</v>
      </c>
      <c r="F10" s="5" t="n">
        <v>44484</v>
      </c>
      <c r="G10" s="6" t="s">
        <v>28</v>
      </c>
      <c r="H10" s="5" t="s">
        <v>29</v>
      </c>
      <c r="I10" s="5" t="n">
        <v>44519</v>
      </c>
      <c r="J10" s="5"/>
      <c r="K10" s="3" t="n">
        <f aca="false">I10-F10</f>
        <v>35</v>
      </c>
      <c r="L10" s="3"/>
      <c r="M10" s="3"/>
      <c r="N10" s="3"/>
      <c r="O10" s="3"/>
      <c r="P10" s="3"/>
      <c r="Q10" s="3"/>
      <c r="R10" s="3"/>
      <c r="S10" s="6" t="s">
        <v>28</v>
      </c>
      <c r="T10" s="3" t="s">
        <v>35</v>
      </c>
      <c r="U10" s="5" t="n">
        <v>44540</v>
      </c>
      <c r="V10" s="3" t="n">
        <f aca="false">U10-F10</f>
        <v>56</v>
      </c>
      <c r="W10" s="3" t="s">
        <v>36</v>
      </c>
      <c r="X10" s="3"/>
      <c r="Y10" s="3"/>
    </row>
    <row r="11" customFormat="false" ht="37.5" hidden="false" customHeight="true" outlineLevel="0" collapsed="false">
      <c r="A11" s="3" t="n">
        <v>9</v>
      </c>
      <c r="B11" s="3"/>
      <c r="C11" s="3" t="s">
        <v>78</v>
      </c>
      <c r="D11" s="68" t="n">
        <v>608895</v>
      </c>
      <c r="E11" s="122" t="s">
        <v>27</v>
      </c>
      <c r="F11" s="5" t="n">
        <v>44506</v>
      </c>
      <c r="G11" s="6" t="s">
        <v>28</v>
      </c>
      <c r="H11" s="5" t="s">
        <v>29</v>
      </c>
      <c r="I11" s="5" t="n">
        <v>44540</v>
      </c>
      <c r="J11" s="5"/>
      <c r="K11" s="3" t="n">
        <f aca="false">I11-F11</f>
        <v>34</v>
      </c>
      <c r="L11" s="3"/>
      <c r="M11" s="3"/>
      <c r="N11" s="3"/>
      <c r="O11" s="3"/>
      <c r="P11" s="3"/>
      <c r="Q11" s="3"/>
      <c r="R11" s="3"/>
      <c r="S11" s="6" t="s">
        <v>28</v>
      </c>
      <c r="T11" s="3" t="s">
        <v>35</v>
      </c>
      <c r="U11" s="5" t="n">
        <v>44566</v>
      </c>
      <c r="V11" s="3" t="n">
        <f aca="false">U11-F11</f>
        <v>60</v>
      </c>
      <c r="W11" s="3" t="s">
        <v>83</v>
      </c>
      <c r="X11" s="3"/>
      <c r="Y11" s="3"/>
    </row>
    <row r="12" customFormat="false" ht="37.5" hidden="false" customHeight="true" outlineLevel="0" collapsed="false">
      <c r="A12" s="3" t="n">
        <v>10</v>
      </c>
      <c r="B12" s="3"/>
      <c r="C12" s="3" t="s">
        <v>78</v>
      </c>
      <c r="D12" s="68" t="n">
        <v>608896</v>
      </c>
      <c r="E12" s="3" t="s">
        <v>27</v>
      </c>
      <c r="F12" s="5" t="n">
        <v>44506</v>
      </c>
      <c r="G12" s="6" t="s">
        <v>28</v>
      </c>
      <c r="H12" s="5" t="s">
        <v>29</v>
      </c>
      <c r="I12" s="5" t="n">
        <v>44540</v>
      </c>
      <c r="J12" s="5"/>
      <c r="K12" s="3" t="n">
        <f aca="false">I12-F12</f>
        <v>34</v>
      </c>
      <c r="L12" s="3"/>
      <c r="M12" s="3"/>
      <c r="N12" s="3"/>
      <c r="O12" s="3"/>
      <c r="P12" s="3"/>
      <c r="Q12" s="3"/>
      <c r="R12" s="3"/>
      <c r="S12" s="6" t="s">
        <v>28</v>
      </c>
      <c r="T12" s="3" t="s">
        <v>35</v>
      </c>
      <c r="U12" s="5" t="n">
        <v>44566</v>
      </c>
      <c r="V12" s="3" t="n">
        <f aca="false">U12-F12</f>
        <v>60</v>
      </c>
      <c r="W12" s="3" t="s">
        <v>36</v>
      </c>
      <c r="X12" s="3"/>
      <c r="Y12" s="3"/>
    </row>
    <row r="13" customFormat="false" ht="37.5" hidden="false" customHeight="true" outlineLevel="0" collapsed="false">
      <c r="A13" s="3" t="n">
        <v>11</v>
      </c>
      <c r="B13" s="3"/>
      <c r="C13" s="3" t="s">
        <v>78</v>
      </c>
      <c r="D13" s="68" t="n">
        <v>608900</v>
      </c>
      <c r="E13" s="3" t="s">
        <v>45</v>
      </c>
      <c r="F13" s="5" t="n">
        <v>44506</v>
      </c>
      <c r="G13" s="6" t="s">
        <v>28</v>
      </c>
      <c r="H13" s="5" t="s">
        <v>29</v>
      </c>
      <c r="I13" s="5" t="n">
        <v>44540</v>
      </c>
      <c r="J13" s="5"/>
      <c r="K13" s="3" t="n">
        <f aca="false">I13-F13</f>
        <v>34</v>
      </c>
      <c r="L13" s="3"/>
      <c r="M13" s="3"/>
      <c r="N13" s="3"/>
      <c r="O13" s="3"/>
      <c r="P13" s="3"/>
      <c r="Q13" s="3"/>
      <c r="R13" s="3"/>
      <c r="S13" s="6" t="s">
        <v>28</v>
      </c>
      <c r="T13" s="3" t="s">
        <v>35</v>
      </c>
      <c r="U13" s="5" t="n">
        <v>44566</v>
      </c>
      <c r="V13" s="3" t="n">
        <f aca="false">U13-F13</f>
        <v>60</v>
      </c>
      <c r="W13" s="3" t="s">
        <v>36</v>
      </c>
      <c r="X13" s="3"/>
      <c r="Y13" s="3"/>
    </row>
    <row r="14" customFormat="false" ht="37.5" hidden="false" customHeight="true" outlineLevel="0" collapsed="false">
      <c r="A14" s="3" t="n">
        <v>12</v>
      </c>
      <c r="B14" s="3"/>
      <c r="C14" s="3" t="s">
        <v>78</v>
      </c>
      <c r="D14" s="68" t="n">
        <v>608901</v>
      </c>
      <c r="E14" s="3" t="s">
        <v>45</v>
      </c>
      <c r="F14" s="5" t="n">
        <v>44506</v>
      </c>
      <c r="G14" s="6" t="s">
        <v>28</v>
      </c>
      <c r="H14" s="5" t="s">
        <v>29</v>
      </c>
      <c r="I14" s="5" t="n">
        <v>44540</v>
      </c>
      <c r="J14" s="5"/>
      <c r="K14" s="3" t="n">
        <f aca="false">I14-F14</f>
        <v>34</v>
      </c>
      <c r="L14" s="3"/>
      <c r="M14" s="3"/>
      <c r="N14" s="3"/>
      <c r="O14" s="3"/>
      <c r="P14" s="3"/>
      <c r="Q14" s="3"/>
      <c r="R14" s="3"/>
      <c r="S14" s="6" t="s">
        <v>28</v>
      </c>
      <c r="T14" s="3" t="s">
        <v>35</v>
      </c>
      <c r="U14" s="5" t="n">
        <v>44566</v>
      </c>
      <c r="V14" s="3" t="n">
        <f aca="false">U14-F14</f>
        <v>60</v>
      </c>
      <c r="W14" s="3" t="s">
        <v>36</v>
      </c>
      <c r="X14" s="3"/>
      <c r="Y14" s="3"/>
    </row>
    <row r="15" s="121" customFormat="true" ht="37.5" hidden="false" customHeight="true" outlineLevel="0" collapsed="false">
      <c r="A15" s="90" t="n">
        <v>13</v>
      </c>
      <c r="B15" s="90" t="s">
        <v>84</v>
      </c>
      <c r="C15" s="90" t="s">
        <v>78</v>
      </c>
      <c r="D15" s="100" t="n">
        <v>611326</v>
      </c>
      <c r="E15" s="90" t="s">
        <v>27</v>
      </c>
      <c r="F15" s="92" t="n">
        <v>44523</v>
      </c>
      <c r="G15" s="93" t="s">
        <v>28</v>
      </c>
      <c r="H15" s="92" t="s">
        <v>29</v>
      </c>
      <c r="I15" s="123" t="n">
        <v>44564</v>
      </c>
      <c r="J15" s="124" t="n">
        <v>44568</v>
      </c>
      <c r="K15" s="90" t="n">
        <f aca="false">I15-F15</f>
        <v>41</v>
      </c>
      <c r="L15" s="90"/>
      <c r="M15" s="90"/>
      <c r="N15" s="90"/>
      <c r="O15" s="90"/>
      <c r="P15" s="90"/>
      <c r="Q15" s="90"/>
      <c r="R15" s="90"/>
      <c r="S15" s="93" t="s">
        <v>28</v>
      </c>
      <c r="T15" s="90" t="s">
        <v>35</v>
      </c>
      <c r="U15" s="92" t="n">
        <v>44589</v>
      </c>
      <c r="V15" s="90" t="n">
        <f aca="false">U15-F15</f>
        <v>66</v>
      </c>
      <c r="W15" s="90" t="s">
        <v>85</v>
      </c>
      <c r="X15" s="90"/>
      <c r="Y15" s="90" t="s">
        <v>86</v>
      </c>
    </row>
    <row r="16" customFormat="false" ht="37.5" hidden="false" customHeight="true" outlineLevel="0" collapsed="false">
      <c r="A16" s="3" t="n">
        <v>14</v>
      </c>
      <c r="B16" s="3"/>
      <c r="C16" s="3" t="s">
        <v>78</v>
      </c>
      <c r="D16" s="68" t="n">
        <v>611328</v>
      </c>
      <c r="E16" s="3" t="s">
        <v>27</v>
      </c>
      <c r="F16" s="5" t="n">
        <v>44523</v>
      </c>
      <c r="G16" s="6" t="s">
        <v>28</v>
      </c>
      <c r="H16" s="5" t="s">
        <v>29</v>
      </c>
      <c r="I16" s="125" t="n">
        <v>44564</v>
      </c>
      <c r="J16" s="126" t="n">
        <v>44568</v>
      </c>
      <c r="K16" s="3" t="n">
        <f aca="false">I16-F16</f>
        <v>41</v>
      </c>
      <c r="L16" s="3"/>
      <c r="M16" s="3"/>
      <c r="N16" s="3"/>
      <c r="O16" s="3"/>
      <c r="P16" s="3"/>
      <c r="Q16" s="3"/>
      <c r="R16" s="3"/>
      <c r="S16" s="6" t="s">
        <v>28</v>
      </c>
      <c r="T16" s="3" t="s">
        <v>35</v>
      </c>
      <c r="U16" s="5" t="n">
        <v>44589</v>
      </c>
      <c r="V16" s="3" t="n">
        <f aca="false">U16-F16</f>
        <v>66</v>
      </c>
      <c r="W16" s="3" t="s">
        <v>85</v>
      </c>
      <c r="X16" s="3"/>
      <c r="Y16" s="3"/>
    </row>
    <row r="17" customFormat="false" ht="37.5" hidden="false" customHeight="true" outlineLevel="0" collapsed="false">
      <c r="A17" s="3" t="n">
        <v>15</v>
      </c>
      <c r="B17" s="3"/>
      <c r="C17" s="3" t="s">
        <v>78</v>
      </c>
      <c r="D17" s="68" t="n">
        <v>611329</v>
      </c>
      <c r="E17" s="3" t="s">
        <v>27</v>
      </c>
      <c r="F17" s="5" t="n">
        <v>44523</v>
      </c>
      <c r="G17" s="6" t="s">
        <v>28</v>
      </c>
      <c r="H17" s="5" t="s">
        <v>29</v>
      </c>
      <c r="I17" s="125" t="n">
        <v>44564</v>
      </c>
      <c r="J17" s="126" t="n">
        <v>44568</v>
      </c>
      <c r="K17" s="3" t="n">
        <f aca="false">I17-F17</f>
        <v>41</v>
      </c>
      <c r="L17" s="3"/>
      <c r="M17" s="3"/>
      <c r="N17" s="3"/>
      <c r="O17" s="3"/>
      <c r="P17" s="3"/>
      <c r="Q17" s="3"/>
      <c r="R17" s="3"/>
      <c r="S17" s="6" t="s">
        <v>28</v>
      </c>
      <c r="T17" s="3" t="s">
        <v>35</v>
      </c>
      <c r="U17" s="5" t="n">
        <v>44589</v>
      </c>
      <c r="V17" s="3" t="n">
        <f aca="false">U17-F17</f>
        <v>66</v>
      </c>
      <c r="W17" s="3" t="s">
        <v>85</v>
      </c>
      <c r="X17" s="3"/>
      <c r="Y17" s="3"/>
    </row>
    <row r="18" customFormat="false" ht="37.5" hidden="false" customHeight="true" outlineLevel="0" collapsed="false">
      <c r="A18" s="3" t="n">
        <v>16</v>
      </c>
      <c r="B18" s="3"/>
      <c r="C18" s="3" t="s">
        <v>78</v>
      </c>
      <c r="D18" s="68" t="n">
        <v>611330</v>
      </c>
      <c r="E18" s="3" t="s">
        <v>27</v>
      </c>
      <c r="F18" s="5" t="n">
        <v>44523</v>
      </c>
      <c r="G18" s="6" t="s">
        <v>28</v>
      </c>
      <c r="H18" s="5" t="s">
        <v>29</v>
      </c>
      <c r="I18" s="125" t="n">
        <v>44564</v>
      </c>
      <c r="J18" s="126" t="n">
        <v>44568</v>
      </c>
      <c r="K18" s="3" t="n">
        <f aca="false">I18-F18</f>
        <v>41</v>
      </c>
      <c r="L18" s="3"/>
      <c r="M18" s="3"/>
      <c r="N18" s="3"/>
      <c r="O18" s="3"/>
      <c r="P18" s="3"/>
      <c r="Q18" s="3"/>
      <c r="R18" s="3"/>
      <c r="S18" s="6" t="s">
        <v>28</v>
      </c>
      <c r="T18" s="3" t="s">
        <v>35</v>
      </c>
      <c r="U18" s="5" t="n">
        <v>44589</v>
      </c>
      <c r="V18" s="3" t="n">
        <f aca="false">U18-F18</f>
        <v>66</v>
      </c>
      <c r="W18" s="3" t="s">
        <v>85</v>
      </c>
      <c r="X18" s="3"/>
      <c r="Y18" s="3"/>
    </row>
    <row r="19" customFormat="false" ht="37.5" hidden="false" customHeight="true" outlineLevel="0" collapsed="false">
      <c r="A19" s="3" t="n">
        <v>17</v>
      </c>
      <c r="B19" s="3"/>
      <c r="C19" s="3" t="s">
        <v>78</v>
      </c>
      <c r="D19" s="68" t="n">
        <v>611333</v>
      </c>
      <c r="E19" s="3" t="s">
        <v>45</v>
      </c>
      <c r="F19" s="5" t="n">
        <v>44523</v>
      </c>
      <c r="G19" s="6" t="s">
        <v>28</v>
      </c>
      <c r="H19" s="5" t="s">
        <v>29</v>
      </c>
      <c r="I19" s="125" t="n">
        <v>44564</v>
      </c>
      <c r="J19" s="126" t="n">
        <v>44568</v>
      </c>
      <c r="K19" s="3" t="n">
        <f aca="false">I19-F19</f>
        <v>41</v>
      </c>
      <c r="L19" s="3"/>
      <c r="M19" s="3"/>
      <c r="N19" s="3"/>
      <c r="O19" s="3"/>
      <c r="P19" s="3"/>
      <c r="Q19" s="3"/>
      <c r="R19" s="3"/>
      <c r="S19" s="6" t="s">
        <v>28</v>
      </c>
      <c r="T19" s="3" t="s">
        <v>35</v>
      </c>
      <c r="U19" s="5" t="n">
        <v>44589</v>
      </c>
      <c r="V19" s="3" t="n">
        <f aca="false">U19-F19</f>
        <v>66</v>
      </c>
      <c r="W19" s="3" t="s">
        <v>85</v>
      </c>
      <c r="X19" s="3"/>
      <c r="Y19" s="3"/>
    </row>
    <row r="20" customFormat="false" ht="37.5" hidden="false" customHeight="true" outlineLevel="0" collapsed="false">
      <c r="A20" s="3" t="n">
        <v>18</v>
      </c>
      <c r="B20" s="3"/>
      <c r="C20" s="3" t="s">
        <v>78</v>
      </c>
      <c r="D20" s="68" t="n">
        <v>611334</v>
      </c>
      <c r="E20" s="3" t="s">
        <v>45</v>
      </c>
      <c r="F20" s="5" t="n">
        <v>44523</v>
      </c>
      <c r="G20" s="6" t="s">
        <v>28</v>
      </c>
      <c r="H20" s="5" t="s">
        <v>29</v>
      </c>
      <c r="I20" s="125" t="n">
        <v>44564</v>
      </c>
      <c r="J20" s="126" t="n">
        <v>44568</v>
      </c>
      <c r="K20" s="3" t="n">
        <f aca="false">I20-F20</f>
        <v>41</v>
      </c>
      <c r="L20" s="3"/>
      <c r="M20" s="3"/>
      <c r="N20" s="3"/>
      <c r="O20" s="3"/>
      <c r="P20" s="3"/>
      <c r="Q20" s="3"/>
      <c r="R20" s="3"/>
      <c r="S20" s="6" t="s">
        <v>28</v>
      </c>
      <c r="T20" s="3" t="s">
        <v>35</v>
      </c>
      <c r="U20" s="5" t="n">
        <v>44589</v>
      </c>
      <c r="V20" s="3" t="n">
        <f aca="false">U20-F20</f>
        <v>66</v>
      </c>
      <c r="W20" s="3" t="s">
        <v>85</v>
      </c>
      <c r="X20" s="3"/>
      <c r="Y20" s="3"/>
    </row>
    <row r="21" customFormat="false" ht="37.5" hidden="false" customHeight="true" outlineLevel="0" collapsed="false">
      <c r="A21" s="3" t="n">
        <v>19</v>
      </c>
      <c r="B21" s="3"/>
      <c r="C21" s="3" t="s">
        <v>78</v>
      </c>
      <c r="D21" s="68" t="n">
        <v>611646</v>
      </c>
      <c r="E21" s="3" t="s">
        <v>45</v>
      </c>
      <c r="F21" s="5" t="n">
        <v>44523</v>
      </c>
      <c r="G21" s="6" t="s">
        <v>28</v>
      </c>
      <c r="H21" s="5" t="s">
        <v>29</v>
      </c>
      <c r="I21" s="125" t="n">
        <v>44564</v>
      </c>
      <c r="J21" s="126" t="n">
        <v>44568</v>
      </c>
      <c r="K21" s="3" t="n">
        <f aca="false">I21-F21</f>
        <v>41</v>
      </c>
      <c r="L21" s="3"/>
      <c r="M21" s="3"/>
      <c r="N21" s="3"/>
      <c r="O21" s="3"/>
      <c r="P21" s="3"/>
      <c r="Q21" s="3"/>
      <c r="R21" s="3"/>
      <c r="S21" s="6" t="s">
        <v>28</v>
      </c>
      <c r="T21" s="3" t="s">
        <v>35</v>
      </c>
      <c r="U21" s="5" t="n">
        <v>44589</v>
      </c>
      <c r="V21" s="3" t="n">
        <f aca="false">U21-F21</f>
        <v>66</v>
      </c>
      <c r="W21" s="3" t="s">
        <v>85</v>
      </c>
      <c r="X21" s="3"/>
      <c r="Y21" s="3"/>
    </row>
    <row r="22" s="121" customFormat="true" ht="37.5" hidden="false" customHeight="true" outlineLevel="0" collapsed="false">
      <c r="A22" s="90" t="n">
        <v>20</v>
      </c>
      <c r="B22" s="90" t="s">
        <v>87</v>
      </c>
      <c r="C22" s="90" t="s">
        <v>78</v>
      </c>
      <c r="D22" s="100" t="n">
        <v>614952</v>
      </c>
      <c r="E22" s="90" t="s">
        <v>27</v>
      </c>
      <c r="F22" s="92" t="n">
        <v>44552</v>
      </c>
      <c r="G22" s="93" t="s">
        <v>28</v>
      </c>
      <c r="H22" s="92" t="s">
        <v>29</v>
      </c>
      <c r="I22" s="92" t="n">
        <v>44585</v>
      </c>
      <c r="J22" s="124" t="n">
        <v>44589</v>
      </c>
      <c r="K22" s="90" t="n">
        <f aca="false">I22-F22</f>
        <v>33</v>
      </c>
      <c r="L22" s="90"/>
      <c r="M22" s="90"/>
      <c r="N22" s="90"/>
      <c r="O22" s="90"/>
      <c r="P22" s="90"/>
      <c r="Q22" s="90"/>
      <c r="R22" s="90"/>
      <c r="S22" s="93" t="s">
        <v>28</v>
      </c>
      <c r="T22" s="90" t="s">
        <v>35</v>
      </c>
      <c r="U22" s="92" t="n">
        <v>44608</v>
      </c>
      <c r="V22" s="90" t="n">
        <f aca="false">U22-F22</f>
        <v>56</v>
      </c>
      <c r="W22" s="90" t="s">
        <v>88</v>
      </c>
      <c r="X22" s="90"/>
      <c r="Y22" s="90"/>
    </row>
    <row r="23" s="121" customFormat="true" ht="37.5" hidden="false" customHeight="true" outlineLevel="0" collapsed="false">
      <c r="A23" s="90" t="n">
        <v>21</v>
      </c>
      <c r="B23" s="90" t="s">
        <v>87</v>
      </c>
      <c r="C23" s="90" t="s">
        <v>78</v>
      </c>
      <c r="D23" s="100" t="n">
        <v>614956</v>
      </c>
      <c r="E23" s="90" t="s">
        <v>45</v>
      </c>
      <c r="F23" s="92" t="n">
        <v>44552</v>
      </c>
      <c r="G23" s="93" t="s">
        <v>28</v>
      </c>
      <c r="H23" s="92" t="s">
        <v>29</v>
      </c>
      <c r="I23" s="92" t="n">
        <v>44585</v>
      </c>
      <c r="J23" s="124" t="n">
        <v>44589</v>
      </c>
      <c r="K23" s="90" t="n">
        <f aca="false">I23-F23</f>
        <v>33</v>
      </c>
      <c r="L23" s="90"/>
      <c r="M23" s="90"/>
      <c r="N23" s="90"/>
      <c r="O23" s="90"/>
      <c r="P23" s="90"/>
      <c r="Q23" s="90"/>
      <c r="R23" s="90"/>
      <c r="S23" s="93" t="s">
        <v>28</v>
      </c>
      <c r="T23" s="90" t="s">
        <v>35</v>
      </c>
      <c r="U23" s="92" t="n">
        <v>44608</v>
      </c>
      <c r="V23" s="90" t="n">
        <f aca="false">U23-F23</f>
        <v>56</v>
      </c>
      <c r="W23" s="90" t="s">
        <v>89</v>
      </c>
      <c r="X23" s="90"/>
      <c r="Y23" s="90"/>
    </row>
    <row r="24" s="121" customFormat="true" ht="37.5" hidden="false" customHeight="true" outlineLevel="0" collapsed="false">
      <c r="A24" s="90" t="n">
        <v>22</v>
      </c>
      <c r="B24" s="90" t="s">
        <v>87</v>
      </c>
      <c r="C24" s="90" t="s">
        <v>78</v>
      </c>
      <c r="D24" s="100" t="n">
        <v>616568</v>
      </c>
      <c r="E24" s="90" t="s">
        <v>45</v>
      </c>
      <c r="F24" s="92" t="n">
        <v>44566</v>
      </c>
      <c r="G24" s="93" t="s">
        <v>28</v>
      </c>
      <c r="H24" s="92" t="s">
        <v>29</v>
      </c>
      <c r="I24" s="92" t="n">
        <v>44620</v>
      </c>
      <c r="J24" s="124" t="n">
        <v>44624</v>
      </c>
      <c r="K24" s="90" t="n">
        <f aca="false">I24-F24</f>
        <v>54</v>
      </c>
      <c r="L24" s="90"/>
      <c r="M24" s="90"/>
      <c r="N24" s="90"/>
      <c r="O24" s="90"/>
      <c r="P24" s="90"/>
      <c r="Q24" s="90"/>
      <c r="R24" s="90"/>
      <c r="S24" s="93" t="s">
        <v>28</v>
      </c>
      <c r="T24" s="90" t="s">
        <v>35</v>
      </c>
      <c r="U24" s="92" t="n">
        <v>44622</v>
      </c>
      <c r="V24" s="90" t="n">
        <f aca="false">U24-F24</f>
        <v>56</v>
      </c>
      <c r="W24" s="90" t="s">
        <v>90</v>
      </c>
      <c r="X24" s="90"/>
      <c r="Y24" s="90"/>
    </row>
    <row r="25" customFormat="false" ht="37.5" hidden="false" customHeight="true" outlineLevel="0" collapsed="false">
      <c r="A25" s="3" t="n">
        <v>23</v>
      </c>
      <c r="B25" s="3"/>
      <c r="C25" s="3" t="s">
        <v>78</v>
      </c>
      <c r="D25" s="68" t="n">
        <v>619050</v>
      </c>
      <c r="E25" s="3" t="s">
        <v>45</v>
      </c>
      <c r="F25" s="5" t="n">
        <v>44586</v>
      </c>
      <c r="G25" s="6" t="s">
        <v>28</v>
      </c>
      <c r="H25" s="5" t="s">
        <v>29</v>
      </c>
      <c r="I25" s="5" t="n">
        <v>44620</v>
      </c>
      <c r="J25" s="126" t="n">
        <v>44624</v>
      </c>
      <c r="K25" s="3" t="n">
        <f aca="false">I25-F25</f>
        <v>34</v>
      </c>
      <c r="L25" s="3"/>
      <c r="M25" s="3"/>
      <c r="N25" s="3"/>
      <c r="O25" s="3"/>
      <c r="P25" s="3"/>
      <c r="Q25" s="3"/>
      <c r="R25" s="3"/>
      <c r="S25" s="6" t="s">
        <v>28</v>
      </c>
      <c r="T25" s="3" t="s">
        <v>35</v>
      </c>
      <c r="U25" s="5" t="n">
        <v>44645</v>
      </c>
      <c r="V25" s="3" t="n">
        <f aca="false">U25-F25</f>
        <v>59</v>
      </c>
      <c r="W25" s="3" t="s">
        <v>90</v>
      </c>
      <c r="X25" s="3"/>
      <c r="Y25" s="3"/>
    </row>
    <row r="26" customFormat="false" ht="37.5" hidden="false" customHeight="true" outlineLevel="0" collapsed="false">
      <c r="A26" s="3" t="n">
        <v>24</v>
      </c>
      <c r="B26" s="3"/>
      <c r="C26" s="3" t="s">
        <v>78</v>
      </c>
      <c r="D26" s="68" t="n">
        <v>619051</v>
      </c>
      <c r="E26" s="3" t="s">
        <v>45</v>
      </c>
      <c r="F26" s="5" t="n">
        <v>44586</v>
      </c>
      <c r="G26" s="6" t="s">
        <v>28</v>
      </c>
      <c r="H26" s="5" t="s">
        <v>29</v>
      </c>
      <c r="I26" s="5" t="n">
        <v>44620</v>
      </c>
      <c r="J26" s="126" t="n">
        <v>44624</v>
      </c>
      <c r="K26" s="3" t="n">
        <f aca="false">I26-F26</f>
        <v>34</v>
      </c>
      <c r="L26" s="3"/>
      <c r="M26" s="3"/>
      <c r="N26" s="3"/>
      <c r="O26" s="3"/>
      <c r="P26" s="3"/>
      <c r="Q26" s="3"/>
      <c r="R26" s="3"/>
      <c r="S26" s="6" t="s">
        <v>28</v>
      </c>
      <c r="T26" s="3" t="s">
        <v>35</v>
      </c>
      <c r="U26" s="5" t="n">
        <v>44645</v>
      </c>
      <c r="V26" s="3" t="n">
        <f aca="false">U26-F26</f>
        <v>59</v>
      </c>
      <c r="W26" s="3" t="s">
        <v>90</v>
      </c>
      <c r="X26" s="3"/>
      <c r="Y26" s="3"/>
    </row>
    <row r="27" customFormat="false" ht="37.5" hidden="false" customHeight="true" outlineLevel="0" collapsed="false">
      <c r="A27" s="90" t="n">
        <v>25</v>
      </c>
      <c r="B27" s="90" t="s">
        <v>91</v>
      </c>
      <c r="C27" s="90" t="s">
        <v>78</v>
      </c>
      <c r="D27" s="100" t="n">
        <v>620629</v>
      </c>
      <c r="E27" s="90" t="s">
        <v>27</v>
      </c>
      <c r="F27" s="92" t="n">
        <v>44596</v>
      </c>
      <c r="G27" s="93" t="s">
        <v>28</v>
      </c>
      <c r="H27" s="92" t="s">
        <v>29</v>
      </c>
      <c r="I27" s="92" t="n">
        <v>44634</v>
      </c>
      <c r="J27" s="92" t="n">
        <v>44638</v>
      </c>
      <c r="K27" s="90" t="n">
        <f aca="false">I27-F27</f>
        <v>38</v>
      </c>
      <c r="L27" s="90"/>
      <c r="M27" s="90"/>
      <c r="N27" s="90"/>
      <c r="O27" s="90"/>
      <c r="P27" s="90"/>
      <c r="Q27" s="90"/>
      <c r="R27" s="90"/>
      <c r="S27" s="93" t="s">
        <v>28</v>
      </c>
      <c r="T27" s="90" t="s">
        <v>35</v>
      </c>
      <c r="U27" s="92" t="n">
        <v>44652</v>
      </c>
      <c r="V27" s="90" t="n">
        <f aca="false">U27-F27</f>
        <v>56</v>
      </c>
      <c r="W27" s="90" t="s">
        <v>90</v>
      </c>
      <c r="X27" s="90"/>
      <c r="Y27" s="90"/>
    </row>
    <row r="28" customFormat="false" ht="37.5" hidden="false" customHeight="true" outlineLevel="0" collapsed="false">
      <c r="A28" s="3" t="n">
        <v>26</v>
      </c>
      <c r="B28" s="3"/>
      <c r="C28" s="3" t="s">
        <v>78</v>
      </c>
      <c r="D28" s="68" t="n">
        <v>620630</v>
      </c>
      <c r="E28" s="3" t="s">
        <v>27</v>
      </c>
      <c r="F28" s="5" t="n">
        <v>44596</v>
      </c>
      <c r="G28" s="6" t="s">
        <v>28</v>
      </c>
      <c r="H28" s="5" t="s">
        <v>29</v>
      </c>
      <c r="I28" s="5" t="n">
        <v>44634</v>
      </c>
      <c r="J28" s="5" t="n">
        <v>44638</v>
      </c>
      <c r="K28" s="3" t="n">
        <f aca="false">I28-F28</f>
        <v>38</v>
      </c>
      <c r="L28" s="3"/>
      <c r="M28" s="3"/>
      <c r="N28" s="3"/>
      <c r="O28" s="3"/>
      <c r="P28" s="3"/>
      <c r="Q28" s="3"/>
      <c r="R28" s="3"/>
      <c r="S28" s="6" t="s">
        <v>28</v>
      </c>
      <c r="T28" s="3" t="s">
        <v>35</v>
      </c>
      <c r="U28" s="5" t="n">
        <v>44652</v>
      </c>
      <c r="V28" s="3" t="n">
        <f aca="false">U28-F28</f>
        <v>56</v>
      </c>
      <c r="W28" s="3" t="s">
        <v>90</v>
      </c>
      <c r="X28" s="3"/>
      <c r="Y28" s="3"/>
    </row>
    <row r="29" customFormat="false" ht="37.5" hidden="false" customHeight="true" outlineLevel="0" collapsed="false">
      <c r="A29" s="90" t="n">
        <v>27</v>
      </c>
      <c r="B29" s="90" t="s">
        <v>92</v>
      </c>
      <c r="C29" s="90" t="s">
        <v>78</v>
      </c>
      <c r="D29" s="100" t="n">
        <v>620631</v>
      </c>
      <c r="E29" s="90" t="s">
        <v>45</v>
      </c>
      <c r="F29" s="92" t="n">
        <v>44596</v>
      </c>
      <c r="G29" s="93" t="s">
        <v>28</v>
      </c>
      <c r="H29" s="92" t="s">
        <v>29</v>
      </c>
      <c r="I29" s="92" t="n">
        <v>44634</v>
      </c>
      <c r="J29" s="92" t="n">
        <v>44638</v>
      </c>
      <c r="K29" s="90" t="n">
        <f aca="false">I29-F29</f>
        <v>38</v>
      </c>
      <c r="L29" s="90"/>
      <c r="M29" s="90"/>
      <c r="N29" s="90"/>
      <c r="O29" s="90"/>
      <c r="P29" s="90"/>
      <c r="Q29" s="90"/>
      <c r="R29" s="90"/>
      <c r="S29" s="93" t="s">
        <v>28</v>
      </c>
      <c r="T29" s="90" t="s">
        <v>35</v>
      </c>
      <c r="U29" s="92" t="n">
        <v>44652</v>
      </c>
      <c r="V29" s="90" t="n">
        <f aca="false">U29-F29</f>
        <v>56</v>
      </c>
      <c r="W29" s="90" t="s">
        <v>90</v>
      </c>
      <c r="X29" s="90"/>
      <c r="Y29" s="90"/>
    </row>
    <row r="30" customFormat="false" ht="37.5" hidden="false" customHeight="true" outlineLevel="0" collapsed="false">
      <c r="A30" s="3" t="n">
        <v>28</v>
      </c>
      <c r="B30" s="3"/>
      <c r="C30" s="3" t="s">
        <v>78</v>
      </c>
      <c r="D30" s="68" t="n">
        <v>620633</v>
      </c>
      <c r="E30" s="3" t="s">
        <v>45</v>
      </c>
      <c r="F30" s="5" t="n">
        <v>44596</v>
      </c>
      <c r="G30" s="6" t="s">
        <v>28</v>
      </c>
      <c r="H30" s="5" t="s">
        <v>29</v>
      </c>
      <c r="I30" s="5" t="n">
        <v>44634</v>
      </c>
      <c r="J30" s="5" t="n">
        <v>44638</v>
      </c>
      <c r="K30" s="3" t="n">
        <f aca="false">I30-F30</f>
        <v>38</v>
      </c>
      <c r="L30" s="3"/>
      <c r="M30" s="3"/>
      <c r="N30" s="3"/>
      <c r="O30" s="3"/>
      <c r="P30" s="3"/>
      <c r="Q30" s="3"/>
      <c r="R30" s="3"/>
      <c r="S30" s="6" t="s">
        <v>28</v>
      </c>
      <c r="T30" s="3" t="s">
        <v>35</v>
      </c>
      <c r="U30" s="5" t="n">
        <v>44652</v>
      </c>
      <c r="V30" s="3" t="n">
        <f aca="false">U30-F30</f>
        <v>56</v>
      </c>
      <c r="W30" s="3" t="s">
        <v>90</v>
      </c>
      <c r="X30" s="3"/>
      <c r="Y30" s="3"/>
    </row>
    <row r="31" customFormat="false" ht="37.5" hidden="false" customHeight="true" outlineLevel="0" collapsed="false">
      <c r="A31" s="3" t="n">
        <v>29</v>
      </c>
      <c r="B31" s="3"/>
      <c r="C31" s="3" t="s">
        <v>78</v>
      </c>
      <c r="D31" s="68" t="n">
        <v>620639</v>
      </c>
      <c r="E31" s="3" t="s">
        <v>27</v>
      </c>
      <c r="F31" s="5" t="n">
        <v>44596</v>
      </c>
      <c r="G31" s="6" t="s">
        <v>28</v>
      </c>
      <c r="H31" s="5" t="s">
        <v>29</v>
      </c>
      <c r="I31" s="5" t="n">
        <v>44634</v>
      </c>
      <c r="J31" s="5" t="n">
        <v>44638</v>
      </c>
      <c r="K31" s="3" t="n">
        <f aca="false">I31-F31</f>
        <v>38</v>
      </c>
      <c r="L31" s="3"/>
      <c r="M31" s="3"/>
      <c r="N31" s="3"/>
      <c r="O31" s="3"/>
      <c r="P31" s="3"/>
      <c r="Q31" s="3"/>
      <c r="R31" s="3"/>
      <c r="S31" s="6" t="s">
        <v>28</v>
      </c>
      <c r="T31" s="3" t="s">
        <v>35</v>
      </c>
      <c r="U31" s="5" t="n">
        <v>44652</v>
      </c>
      <c r="V31" s="3" t="n">
        <f aca="false">U31-F31</f>
        <v>56</v>
      </c>
      <c r="W31" s="3" t="s">
        <v>90</v>
      </c>
      <c r="X31" s="3"/>
      <c r="Y31" s="3"/>
    </row>
    <row r="32" customFormat="false" ht="37.5" hidden="false" customHeight="true" outlineLevel="0" collapsed="false">
      <c r="A32" s="3" t="n">
        <v>30</v>
      </c>
      <c r="B32" s="3"/>
      <c r="C32" s="3" t="s">
        <v>78</v>
      </c>
      <c r="D32" s="68" t="n">
        <v>620640</v>
      </c>
      <c r="E32" s="3" t="s">
        <v>27</v>
      </c>
      <c r="F32" s="5" t="n">
        <v>44596</v>
      </c>
      <c r="G32" s="6" t="s">
        <v>28</v>
      </c>
      <c r="H32" s="5" t="s">
        <v>29</v>
      </c>
      <c r="I32" s="5" t="n">
        <v>44634</v>
      </c>
      <c r="J32" s="5" t="n">
        <v>44638</v>
      </c>
      <c r="K32" s="3" t="n">
        <f aca="false">I32-F32</f>
        <v>38</v>
      </c>
      <c r="L32" s="3"/>
      <c r="M32" s="3"/>
      <c r="N32" s="3"/>
      <c r="O32" s="3"/>
      <c r="P32" s="3"/>
      <c r="Q32" s="3"/>
      <c r="R32" s="3"/>
      <c r="S32" s="6" t="s">
        <v>28</v>
      </c>
      <c r="T32" s="3" t="s">
        <v>35</v>
      </c>
      <c r="U32" s="5" t="n">
        <v>44652</v>
      </c>
      <c r="V32" s="3" t="n">
        <f aca="false">U32-F32</f>
        <v>56</v>
      </c>
      <c r="W32" s="3" t="s">
        <v>90</v>
      </c>
      <c r="X32" s="3"/>
      <c r="Y32" s="3"/>
    </row>
    <row r="33" customFormat="false" ht="37.5" hidden="false" customHeight="true" outlineLevel="0" collapsed="false">
      <c r="A33" s="3" t="n">
        <v>31</v>
      </c>
      <c r="B33" s="3"/>
      <c r="C33" s="3" t="s">
        <v>78</v>
      </c>
      <c r="D33" s="68" t="n">
        <v>620642</v>
      </c>
      <c r="E33" s="3" t="s">
        <v>45</v>
      </c>
      <c r="F33" s="5" t="n">
        <v>44596</v>
      </c>
      <c r="G33" s="6" t="s">
        <v>28</v>
      </c>
      <c r="H33" s="5" t="s">
        <v>29</v>
      </c>
      <c r="I33" s="5" t="n">
        <v>44634</v>
      </c>
      <c r="J33" s="5" t="n">
        <v>44638</v>
      </c>
      <c r="K33" s="3" t="n">
        <f aca="false">I33-F33</f>
        <v>38</v>
      </c>
      <c r="L33" s="3"/>
      <c r="M33" s="3"/>
      <c r="N33" s="3"/>
      <c r="O33" s="3"/>
      <c r="P33" s="3"/>
      <c r="Q33" s="3"/>
      <c r="R33" s="3"/>
      <c r="S33" s="6" t="s">
        <v>28</v>
      </c>
      <c r="T33" s="3" t="s">
        <v>35</v>
      </c>
      <c r="U33" s="5" t="n">
        <v>44652</v>
      </c>
      <c r="V33" s="3" t="n">
        <f aca="false">U33-F33</f>
        <v>56</v>
      </c>
      <c r="W33" s="3" t="s">
        <v>90</v>
      </c>
      <c r="X33" s="3"/>
      <c r="Y33" s="3"/>
    </row>
    <row r="34" customFormat="false" ht="37.5" hidden="false" customHeight="true" outlineLevel="0" collapsed="false">
      <c r="A34" s="3" t="n">
        <v>32</v>
      </c>
      <c r="B34" s="3"/>
      <c r="C34" s="3" t="s">
        <v>78</v>
      </c>
      <c r="D34" s="68" t="n">
        <v>620643</v>
      </c>
      <c r="E34" s="3" t="s">
        <v>45</v>
      </c>
      <c r="F34" s="5" t="n">
        <v>44596</v>
      </c>
      <c r="G34" s="6" t="s">
        <v>28</v>
      </c>
      <c r="H34" s="5" t="s">
        <v>29</v>
      </c>
      <c r="I34" s="5" t="n">
        <v>44634</v>
      </c>
      <c r="J34" s="5" t="n">
        <v>44638</v>
      </c>
      <c r="K34" s="3" t="n">
        <f aca="false">I34-F34</f>
        <v>38</v>
      </c>
      <c r="L34" s="3"/>
      <c r="M34" s="3"/>
      <c r="N34" s="3"/>
      <c r="O34" s="3"/>
      <c r="P34" s="3"/>
      <c r="Q34" s="3"/>
      <c r="R34" s="3"/>
      <c r="S34" s="6" t="s">
        <v>28</v>
      </c>
      <c r="T34" s="3" t="s">
        <v>35</v>
      </c>
      <c r="U34" s="5" t="n">
        <v>44652</v>
      </c>
      <c r="V34" s="3" t="n">
        <f aca="false">U34-F34</f>
        <v>56</v>
      </c>
      <c r="W34" s="3" t="s">
        <v>90</v>
      </c>
      <c r="X34" s="3"/>
      <c r="Y34" s="3"/>
    </row>
    <row r="35" customFormat="false" ht="37.5" hidden="false" customHeight="true" outlineLevel="0" collapsed="false">
      <c r="A35" s="3" t="n">
        <v>33</v>
      </c>
      <c r="B35" s="3"/>
      <c r="C35" s="3" t="s">
        <v>78</v>
      </c>
      <c r="D35" s="68" t="n">
        <v>626319</v>
      </c>
      <c r="E35" s="3" t="s">
        <v>27</v>
      </c>
      <c r="F35" s="5" t="n">
        <v>44639</v>
      </c>
      <c r="G35" s="6" t="s">
        <v>28</v>
      </c>
      <c r="H35" s="5" t="s">
        <v>29</v>
      </c>
      <c r="I35" s="5" t="n">
        <v>44676</v>
      </c>
      <c r="J35" s="126" t="n">
        <v>44678</v>
      </c>
      <c r="K35" s="3" t="n">
        <f aca="false">I35-F35</f>
        <v>37</v>
      </c>
      <c r="L35" s="3"/>
      <c r="M35" s="3"/>
      <c r="N35" s="3"/>
      <c r="O35" s="3"/>
      <c r="P35" s="3"/>
      <c r="Q35" s="3"/>
      <c r="R35" s="3"/>
      <c r="S35" s="6" t="s">
        <v>28</v>
      </c>
      <c r="T35" s="3" t="s">
        <v>35</v>
      </c>
      <c r="U35" s="5" t="n">
        <v>44698</v>
      </c>
      <c r="V35" s="3" t="n">
        <f aca="false">U35-F35</f>
        <v>59</v>
      </c>
      <c r="W35" s="3" t="s">
        <v>93</v>
      </c>
      <c r="X35" s="3"/>
      <c r="Y35" s="3"/>
    </row>
    <row r="36" customFormat="false" ht="37.5" hidden="false" customHeight="true" outlineLevel="0" collapsed="false">
      <c r="A36" s="3" t="n">
        <v>34</v>
      </c>
      <c r="B36" s="3"/>
      <c r="C36" s="3" t="s">
        <v>78</v>
      </c>
      <c r="D36" s="68" t="n">
        <v>626679</v>
      </c>
      <c r="E36" s="3"/>
      <c r="F36" s="5" t="n">
        <v>44639</v>
      </c>
      <c r="G36" s="6" t="s">
        <v>28</v>
      </c>
      <c r="H36" s="5" t="s">
        <v>29</v>
      </c>
      <c r="I36" s="5" t="n">
        <v>44676</v>
      </c>
      <c r="J36" s="126" t="n">
        <v>44678</v>
      </c>
      <c r="K36" s="3" t="n">
        <f aca="false">I36-F36</f>
        <v>37</v>
      </c>
      <c r="L36" s="3"/>
      <c r="M36" s="3"/>
      <c r="N36" s="3"/>
      <c r="O36" s="3"/>
      <c r="P36" s="3"/>
      <c r="Q36" s="3"/>
      <c r="R36" s="3"/>
      <c r="S36" s="6" t="s">
        <v>28</v>
      </c>
      <c r="T36" s="3" t="s">
        <v>35</v>
      </c>
      <c r="U36" s="5" t="n">
        <v>44698</v>
      </c>
      <c r="V36" s="3" t="n">
        <f aca="false">U36-F36</f>
        <v>59</v>
      </c>
      <c r="W36" s="3" t="s">
        <v>94</v>
      </c>
      <c r="X36" s="3"/>
      <c r="Y36" s="3"/>
    </row>
    <row r="37" customFormat="false" ht="37.5" hidden="false" customHeight="true" outlineLevel="0" collapsed="false">
      <c r="A37" s="3" t="n">
        <v>35</v>
      </c>
      <c r="B37" s="3"/>
      <c r="C37" s="3" t="s">
        <v>78</v>
      </c>
      <c r="D37" s="68" t="n">
        <v>626681</v>
      </c>
      <c r="E37" s="3"/>
      <c r="F37" s="5" t="n">
        <v>44639</v>
      </c>
      <c r="G37" s="6" t="s">
        <v>28</v>
      </c>
      <c r="H37" s="5" t="s">
        <v>29</v>
      </c>
      <c r="I37" s="5" t="n">
        <v>44676</v>
      </c>
      <c r="J37" s="126" t="n">
        <v>44678</v>
      </c>
      <c r="K37" s="3" t="n">
        <f aca="false">I37-F37</f>
        <v>37</v>
      </c>
      <c r="L37" s="3"/>
      <c r="M37" s="3"/>
      <c r="N37" s="3"/>
      <c r="O37" s="3"/>
      <c r="P37" s="3"/>
      <c r="Q37" s="3"/>
      <c r="R37" s="3"/>
      <c r="S37" s="6" t="s">
        <v>28</v>
      </c>
      <c r="T37" s="3" t="s">
        <v>35</v>
      </c>
      <c r="U37" s="5" t="n">
        <v>44698</v>
      </c>
      <c r="V37" s="3" t="n">
        <f aca="false">U37-F37</f>
        <v>59</v>
      </c>
      <c r="W37" s="3" t="s">
        <v>94</v>
      </c>
      <c r="X37" s="3"/>
      <c r="Y37" s="3"/>
    </row>
    <row r="38" customFormat="false" ht="37.5" hidden="false" customHeight="true" outlineLevel="0" collapsed="false">
      <c r="A38" s="3" t="n">
        <v>36</v>
      </c>
      <c r="B38" s="3"/>
      <c r="C38" s="3" t="s">
        <v>78</v>
      </c>
      <c r="D38" s="68" t="n">
        <v>634172</v>
      </c>
      <c r="E38" s="3"/>
      <c r="F38" s="5"/>
      <c r="G38" s="6" t="s">
        <v>28</v>
      </c>
      <c r="H38" s="5" t="s">
        <v>29</v>
      </c>
      <c r="I38" s="5"/>
      <c r="J38" s="5"/>
      <c r="K38" s="3" t="n">
        <f aca="false">I38-F38</f>
        <v>0</v>
      </c>
      <c r="L38" s="3"/>
      <c r="M38" s="3"/>
      <c r="N38" s="3"/>
      <c r="O38" s="3"/>
      <c r="P38" s="3"/>
      <c r="Q38" s="3"/>
      <c r="R38" s="3"/>
      <c r="S38" s="6" t="s">
        <v>28</v>
      </c>
      <c r="T38" s="3" t="s">
        <v>35</v>
      </c>
      <c r="U38" s="5" t="n">
        <v>44749</v>
      </c>
      <c r="V38" s="3"/>
      <c r="W38" s="3" t="s">
        <v>94</v>
      </c>
      <c r="X38" s="3"/>
      <c r="Y38" s="3"/>
    </row>
    <row r="39" customFormat="false" ht="37.5" hidden="false" customHeight="true" outlineLevel="0" collapsed="false">
      <c r="A39" s="3" t="n">
        <v>37</v>
      </c>
      <c r="B39" s="3"/>
      <c r="C39" s="3" t="s">
        <v>78</v>
      </c>
      <c r="D39" s="68" t="n">
        <v>634173</v>
      </c>
      <c r="E39" s="3"/>
      <c r="F39" s="5"/>
      <c r="G39" s="6" t="s">
        <v>28</v>
      </c>
      <c r="H39" s="5" t="s">
        <v>29</v>
      </c>
      <c r="I39" s="5"/>
      <c r="J39" s="5"/>
      <c r="K39" s="3" t="n">
        <f aca="false">I39-F39</f>
        <v>0</v>
      </c>
      <c r="L39" s="3"/>
      <c r="M39" s="3"/>
      <c r="N39" s="3"/>
      <c r="O39" s="3"/>
      <c r="P39" s="3"/>
      <c r="Q39" s="3"/>
      <c r="R39" s="3"/>
      <c r="S39" s="6" t="s">
        <v>28</v>
      </c>
      <c r="T39" s="3" t="s">
        <v>35</v>
      </c>
      <c r="U39" s="5" t="n">
        <v>44749</v>
      </c>
      <c r="V39" s="3"/>
      <c r="W39" s="3" t="s">
        <v>94</v>
      </c>
      <c r="X39" s="3"/>
      <c r="Y39" s="3"/>
    </row>
    <row r="40" customFormat="false" ht="37.5" hidden="false" customHeight="true" outlineLevel="0" collapsed="false">
      <c r="A40" s="3" t="n">
        <v>38</v>
      </c>
      <c r="B40" s="3"/>
      <c r="C40" s="3" t="s">
        <v>78</v>
      </c>
      <c r="D40" s="68" t="n">
        <v>627947</v>
      </c>
      <c r="E40" s="3" t="s">
        <v>27</v>
      </c>
      <c r="F40" s="5" t="n">
        <v>44651</v>
      </c>
      <c r="G40" s="6" t="s">
        <v>28</v>
      </c>
      <c r="H40" s="5" t="s">
        <v>29</v>
      </c>
      <c r="I40" s="5" t="n">
        <v>44685</v>
      </c>
      <c r="J40" s="126" t="n">
        <v>44687</v>
      </c>
      <c r="K40" s="3" t="n">
        <f aca="false">I40-F40</f>
        <v>34</v>
      </c>
      <c r="L40" s="3"/>
      <c r="M40" s="3"/>
      <c r="N40" s="3"/>
      <c r="O40" s="3"/>
      <c r="P40" s="3"/>
      <c r="Q40" s="3"/>
      <c r="R40" s="3"/>
      <c r="S40" s="6" t="s">
        <v>28</v>
      </c>
      <c r="T40" s="3" t="s">
        <v>35</v>
      </c>
      <c r="U40" s="5" t="n">
        <v>44718</v>
      </c>
      <c r="V40" s="3" t="n">
        <f aca="false">U40-F40</f>
        <v>67</v>
      </c>
      <c r="W40" s="3" t="s">
        <v>94</v>
      </c>
      <c r="X40" s="3"/>
      <c r="Y40" s="3"/>
    </row>
    <row r="41" customFormat="false" ht="37.5" hidden="false" customHeight="true" outlineLevel="0" collapsed="false">
      <c r="A41" s="3" t="n">
        <v>39</v>
      </c>
      <c r="B41" s="3"/>
      <c r="C41" s="3" t="s">
        <v>78</v>
      </c>
      <c r="D41" s="68" t="n">
        <v>627949</v>
      </c>
      <c r="E41" s="3" t="s">
        <v>45</v>
      </c>
      <c r="F41" s="5" t="n">
        <v>44651</v>
      </c>
      <c r="G41" s="6" t="s">
        <v>28</v>
      </c>
      <c r="H41" s="5" t="s">
        <v>29</v>
      </c>
      <c r="I41" s="5" t="n">
        <v>44685</v>
      </c>
      <c r="J41" s="126" t="n">
        <v>44687</v>
      </c>
      <c r="K41" s="3" t="n">
        <f aca="false">I41-F41</f>
        <v>34</v>
      </c>
      <c r="L41" s="3"/>
      <c r="M41" s="3"/>
      <c r="N41" s="3"/>
      <c r="O41" s="3"/>
      <c r="P41" s="3"/>
      <c r="Q41" s="3"/>
      <c r="R41" s="3"/>
      <c r="S41" s="6" t="s">
        <v>28</v>
      </c>
      <c r="T41" s="3" t="s">
        <v>35</v>
      </c>
      <c r="U41" s="5" t="n">
        <v>44718</v>
      </c>
      <c r="V41" s="3" t="n">
        <f aca="false">U41-F41</f>
        <v>67</v>
      </c>
      <c r="W41" s="3" t="s">
        <v>94</v>
      </c>
      <c r="X41" s="3"/>
      <c r="Y41" s="3"/>
    </row>
    <row r="42" customFormat="false" ht="37.5" hidden="false" customHeight="true" outlineLevel="0" collapsed="false">
      <c r="A42" s="3" t="n">
        <v>40</v>
      </c>
      <c r="B42" s="3"/>
      <c r="C42" s="3" t="s">
        <v>78</v>
      </c>
      <c r="D42" s="68" t="n">
        <v>627950</v>
      </c>
      <c r="E42" s="3" t="s">
        <v>45</v>
      </c>
      <c r="F42" s="5" t="n">
        <v>44651</v>
      </c>
      <c r="G42" s="6" t="s">
        <v>28</v>
      </c>
      <c r="H42" s="5" t="s">
        <v>29</v>
      </c>
      <c r="I42" s="5" t="n">
        <v>44685</v>
      </c>
      <c r="J42" s="126" t="n">
        <v>44687</v>
      </c>
      <c r="K42" s="3" t="n">
        <f aca="false">I42-F42</f>
        <v>34</v>
      </c>
      <c r="L42" s="3"/>
      <c r="M42" s="3"/>
      <c r="N42" s="3"/>
      <c r="O42" s="3"/>
      <c r="P42" s="3"/>
      <c r="Q42" s="3"/>
      <c r="R42" s="3"/>
      <c r="S42" s="6" t="s">
        <v>28</v>
      </c>
      <c r="T42" s="3" t="s">
        <v>35</v>
      </c>
      <c r="U42" s="5" t="n">
        <v>44718</v>
      </c>
      <c r="V42" s="3" t="n">
        <f aca="false">U42-F42</f>
        <v>67</v>
      </c>
      <c r="W42" s="3" t="s">
        <v>95</v>
      </c>
      <c r="X42" s="3"/>
      <c r="Y42" s="3"/>
    </row>
    <row r="43" customFormat="false" ht="37.5" hidden="false" customHeight="true" outlineLevel="0" collapsed="false">
      <c r="A43" s="3" t="n">
        <v>41</v>
      </c>
      <c r="B43" s="3"/>
      <c r="C43" s="3" t="s">
        <v>78</v>
      </c>
      <c r="D43" s="68" t="n">
        <v>650817</v>
      </c>
      <c r="E43" s="3"/>
      <c r="F43" s="3"/>
      <c r="G43" s="6" t="s">
        <v>28</v>
      </c>
      <c r="H43" s="5" t="s">
        <v>29</v>
      </c>
      <c r="I43" s="5"/>
      <c r="J43" s="5"/>
      <c r="K43" s="3" t="n">
        <f aca="false">I43-F43</f>
        <v>0</v>
      </c>
      <c r="L43" s="3"/>
      <c r="M43" s="3"/>
      <c r="N43" s="3"/>
      <c r="O43" s="3"/>
      <c r="P43" s="3"/>
      <c r="Q43" s="3"/>
      <c r="R43" s="3"/>
      <c r="S43" s="6" t="s">
        <v>28</v>
      </c>
      <c r="T43" s="3" t="s">
        <v>35</v>
      </c>
      <c r="U43" s="5" t="n">
        <v>44882</v>
      </c>
      <c r="V43" s="3"/>
      <c r="W43" s="3" t="s">
        <v>94</v>
      </c>
      <c r="X43" s="3"/>
      <c r="Y43" s="3"/>
    </row>
    <row r="44" customFormat="false" ht="37.5" hidden="false" customHeight="true" outlineLevel="0" collapsed="false">
      <c r="A44" s="3" t="n">
        <v>42</v>
      </c>
      <c r="B44" s="3"/>
      <c r="C44" s="3" t="s">
        <v>78</v>
      </c>
      <c r="D44" s="68" t="n">
        <v>650818</v>
      </c>
      <c r="E44" s="3"/>
      <c r="F44" s="3"/>
      <c r="G44" s="6" t="s">
        <v>28</v>
      </c>
      <c r="H44" s="5" t="s">
        <v>29</v>
      </c>
      <c r="I44" s="5"/>
      <c r="J44" s="5"/>
      <c r="K44" s="3" t="n">
        <f aca="false">I44-F44</f>
        <v>0</v>
      </c>
      <c r="L44" s="3"/>
      <c r="M44" s="3"/>
      <c r="N44" s="3"/>
      <c r="O44" s="3"/>
      <c r="P44" s="3"/>
      <c r="Q44" s="3"/>
      <c r="R44" s="3"/>
      <c r="S44" s="6" t="s">
        <v>28</v>
      </c>
      <c r="T44" s="3" t="s">
        <v>35</v>
      </c>
      <c r="U44" s="5" t="n">
        <v>44882</v>
      </c>
      <c r="V44" s="3"/>
      <c r="W44" s="3" t="s">
        <v>94</v>
      </c>
      <c r="X44" s="3"/>
      <c r="Y44" s="3"/>
    </row>
    <row r="45" customFormat="false" ht="37.5" hidden="false" customHeight="true" outlineLevel="0" collapsed="false">
      <c r="A45" s="3" t="n">
        <v>43</v>
      </c>
      <c r="B45" s="3"/>
      <c r="C45" s="3" t="s">
        <v>78</v>
      </c>
      <c r="D45" s="68" t="n">
        <v>650819</v>
      </c>
      <c r="E45" s="3"/>
      <c r="F45" s="3"/>
      <c r="G45" s="6" t="s">
        <v>28</v>
      </c>
      <c r="H45" s="5" t="s">
        <v>29</v>
      </c>
      <c r="I45" s="5"/>
      <c r="J45" s="5"/>
      <c r="K45" s="3" t="n">
        <f aca="false">I45-F45</f>
        <v>0</v>
      </c>
      <c r="L45" s="3"/>
      <c r="M45" s="3"/>
      <c r="N45" s="3"/>
      <c r="O45" s="3"/>
      <c r="P45" s="3"/>
      <c r="Q45" s="3"/>
      <c r="R45" s="3"/>
      <c r="S45" s="6" t="s">
        <v>28</v>
      </c>
      <c r="T45" s="3" t="s">
        <v>35</v>
      </c>
      <c r="U45" s="5" t="n">
        <v>44882</v>
      </c>
      <c r="V45" s="3"/>
      <c r="W45" s="3" t="s">
        <v>94</v>
      </c>
      <c r="X45" s="3"/>
      <c r="Y45" s="3"/>
    </row>
    <row r="46" customFormat="false" ht="37.5" hidden="false" customHeight="true" outlineLevel="0" collapsed="false">
      <c r="A46" s="3" t="n">
        <v>44</v>
      </c>
      <c r="B46" s="3"/>
      <c r="C46" s="3" t="s">
        <v>78</v>
      </c>
      <c r="D46" s="68" t="n">
        <v>658733</v>
      </c>
      <c r="E46" s="3" t="s">
        <v>27</v>
      </c>
      <c r="F46" s="5" t="n">
        <v>44882</v>
      </c>
      <c r="G46" s="6" t="s">
        <v>28</v>
      </c>
      <c r="H46" s="5" t="s">
        <v>29</v>
      </c>
      <c r="I46" s="5" t="n">
        <v>44916</v>
      </c>
      <c r="J46" s="126" t="n">
        <v>44918</v>
      </c>
      <c r="K46" s="3" t="n">
        <f aca="false">I46-F46</f>
        <v>34</v>
      </c>
      <c r="L46" s="3"/>
      <c r="M46" s="3"/>
      <c r="N46" s="3"/>
      <c r="O46" s="3"/>
      <c r="P46" s="3"/>
      <c r="Q46" s="3"/>
      <c r="R46" s="3"/>
      <c r="S46" s="6" t="s">
        <v>28</v>
      </c>
      <c r="T46" s="3" t="s">
        <v>35</v>
      </c>
      <c r="U46" s="5" t="n">
        <v>44938</v>
      </c>
      <c r="V46" s="3" t="n">
        <f aca="false">U46-F46</f>
        <v>56</v>
      </c>
      <c r="W46" s="3" t="s">
        <v>94</v>
      </c>
      <c r="X46" s="3"/>
      <c r="Y46" s="3"/>
    </row>
    <row r="47" s="121" customFormat="true" ht="37.5" hidden="false" customHeight="true" outlineLevel="0" collapsed="false">
      <c r="A47" s="90" t="n">
        <v>45</v>
      </c>
      <c r="B47" s="90" t="s">
        <v>96</v>
      </c>
      <c r="C47" s="90" t="s">
        <v>78</v>
      </c>
      <c r="D47" s="100" t="n">
        <v>658734</v>
      </c>
      <c r="E47" s="90" t="s">
        <v>27</v>
      </c>
      <c r="F47" s="92" t="n">
        <v>44882</v>
      </c>
      <c r="G47" s="93" t="s">
        <v>28</v>
      </c>
      <c r="H47" s="92" t="s">
        <v>29</v>
      </c>
      <c r="I47" s="92" t="n">
        <v>44916</v>
      </c>
      <c r="J47" s="124" t="n">
        <v>44918</v>
      </c>
      <c r="K47" s="90" t="n">
        <f aca="false">I47-F47</f>
        <v>34</v>
      </c>
      <c r="L47" s="90"/>
      <c r="M47" s="90"/>
      <c r="N47" s="90"/>
      <c r="O47" s="90"/>
      <c r="P47" s="90"/>
      <c r="Q47" s="90"/>
      <c r="R47" s="90"/>
      <c r="S47" s="93" t="s">
        <v>28</v>
      </c>
      <c r="T47" s="90" t="s">
        <v>35</v>
      </c>
      <c r="U47" s="92" t="n">
        <v>44938</v>
      </c>
      <c r="V47" s="90" t="n">
        <f aca="false">U47-F47</f>
        <v>56</v>
      </c>
      <c r="W47" s="90" t="s">
        <v>94</v>
      </c>
      <c r="X47" s="90"/>
      <c r="Y47" s="90"/>
    </row>
    <row r="48" s="121" customFormat="true" ht="37.5" hidden="false" customHeight="true" outlineLevel="0" collapsed="false">
      <c r="A48" s="90" t="n">
        <v>46</v>
      </c>
      <c r="B48" s="90" t="s">
        <v>96</v>
      </c>
      <c r="C48" s="90" t="s">
        <v>78</v>
      </c>
      <c r="D48" s="100" t="n">
        <v>658735</v>
      </c>
      <c r="E48" s="90" t="s">
        <v>45</v>
      </c>
      <c r="F48" s="92" t="n">
        <v>44882</v>
      </c>
      <c r="G48" s="93" t="s">
        <v>28</v>
      </c>
      <c r="H48" s="92" t="s">
        <v>29</v>
      </c>
      <c r="I48" s="92" t="n">
        <v>44916</v>
      </c>
      <c r="J48" s="124" t="n">
        <v>44918</v>
      </c>
      <c r="K48" s="90" t="n">
        <f aca="false">I48-F48</f>
        <v>34</v>
      </c>
      <c r="L48" s="90"/>
      <c r="M48" s="90"/>
      <c r="N48" s="90"/>
      <c r="O48" s="90"/>
      <c r="P48" s="90"/>
      <c r="Q48" s="90"/>
      <c r="R48" s="90"/>
      <c r="S48" s="93" t="s">
        <v>28</v>
      </c>
      <c r="T48" s="90" t="s">
        <v>35</v>
      </c>
      <c r="U48" s="92" t="n">
        <v>44938</v>
      </c>
      <c r="V48" s="90" t="n">
        <f aca="false">U48-F48</f>
        <v>56</v>
      </c>
      <c r="W48" s="90" t="s">
        <v>94</v>
      </c>
      <c r="X48" s="90"/>
      <c r="Y48" s="90"/>
    </row>
    <row r="49" s="121" customFormat="true" ht="37.5" hidden="false" customHeight="true" outlineLevel="0" collapsed="false">
      <c r="A49" s="90" t="n">
        <v>47</v>
      </c>
      <c r="B49" s="90" t="s">
        <v>97</v>
      </c>
      <c r="C49" s="90" t="s">
        <v>78</v>
      </c>
      <c r="D49" s="100" t="n">
        <v>660625</v>
      </c>
      <c r="E49" s="90"/>
      <c r="F49" s="92"/>
      <c r="G49" s="93" t="s">
        <v>28</v>
      </c>
      <c r="H49" s="92" t="s">
        <v>29</v>
      </c>
      <c r="I49" s="92"/>
      <c r="J49" s="92"/>
      <c r="K49" s="90" t="n">
        <f aca="false">I49-F49</f>
        <v>0</v>
      </c>
      <c r="L49" s="90"/>
      <c r="M49" s="90"/>
      <c r="N49" s="90"/>
      <c r="O49" s="90"/>
      <c r="P49" s="90"/>
      <c r="Q49" s="90"/>
      <c r="R49" s="90"/>
      <c r="S49" s="93" t="s">
        <v>28</v>
      </c>
      <c r="T49" s="90" t="s">
        <v>35</v>
      </c>
      <c r="U49" s="92" t="n">
        <v>44970</v>
      </c>
      <c r="V49" s="90" t="n">
        <f aca="false">U49-F49</f>
        <v>44970</v>
      </c>
      <c r="W49" s="90" t="s">
        <v>94</v>
      </c>
      <c r="X49" s="90"/>
      <c r="Y49" s="90" t="s">
        <v>68</v>
      </c>
    </row>
    <row r="50" s="121" customFormat="true" ht="37.5" hidden="false" customHeight="true" outlineLevel="0" collapsed="false">
      <c r="A50" s="90" t="n">
        <v>48</v>
      </c>
      <c r="B50" s="90" t="s">
        <v>97</v>
      </c>
      <c r="C50" s="90" t="s">
        <v>78</v>
      </c>
      <c r="D50" s="100" t="n">
        <v>660627</v>
      </c>
      <c r="E50" s="90"/>
      <c r="F50" s="92"/>
      <c r="G50" s="93" t="s">
        <v>28</v>
      </c>
      <c r="H50" s="92" t="s">
        <v>29</v>
      </c>
      <c r="I50" s="92"/>
      <c r="J50" s="92"/>
      <c r="K50" s="90" t="n">
        <f aca="false">I50-F50</f>
        <v>0</v>
      </c>
      <c r="L50" s="90"/>
      <c r="M50" s="90"/>
      <c r="N50" s="90"/>
      <c r="O50" s="90"/>
      <c r="P50" s="90"/>
      <c r="Q50" s="90"/>
      <c r="R50" s="90"/>
      <c r="S50" s="93" t="s">
        <v>28</v>
      </c>
      <c r="T50" s="90" t="s">
        <v>35</v>
      </c>
      <c r="U50" s="92" t="n">
        <v>44970</v>
      </c>
      <c r="V50" s="90" t="n">
        <f aca="false">U50-F50</f>
        <v>44970</v>
      </c>
      <c r="W50" s="90" t="s">
        <v>94</v>
      </c>
      <c r="X50" s="90"/>
      <c r="Y50" s="90" t="s">
        <v>68</v>
      </c>
    </row>
    <row r="51" s="121" customFormat="true" ht="37.5" hidden="false" customHeight="true" outlineLevel="0" collapsed="false">
      <c r="A51" s="90" t="n">
        <v>49</v>
      </c>
      <c r="B51" s="90" t="s">
        <v>98</v>
      </c>
      <c r="C51" s="90" t="s">
        <v>78</v>
      </c>
      <c r="D51" s="100" t="n">
        <v>660629</v>
      </c>
      <c r="E51" s="90"/>
      <c r="F51" s="90"/>
      <c r="G51" s="93" t="s">
        <v>28</v>
      </c>
      <c r="H51" s="92" t="s">
        <v>29</v>
      </c>
      <c r="I51" s="92"/>
      <c r="J51" s="92"/>
      <c r="K51" s="90" t="n">
        <f aca="false">I51-F51</f>
        <v>0</v>
      </c>
      <c r="L51" s="90"/>
      <c r="M51" s="90"/>
      <c r="N51" s="90"/>
      <c r="O51" s="90"/>
      <c r="P51" s="90"/>
      <c r="Q51" s="90"/>
      <c r="R51" s="90"/>
      <c r="S51" s="93" t="s">
        <v>28</v>
      </c>
      <c r="T51" s="90" t="s">
        <v>35</v>
      </c>
      <c r="U51" s="92" t="n">
        <v>44970</v>
      </c>
      <c r="V51" s="90" t="n">
        <f aca="false">U51-F51</f>
        <v>44970</v>
      </c>
      <c r="W51" s="90" t="s">
        <v>99</v>
      </c>
      <c r="X51" s="90"/>
      <c r="Y51" s="90"/>
    </row>
    <row r="52" s="121" customFormat="true" ht="37.5" hidden="false" customHeight="true" outlineLevel="0" collapsed="false">
      <c r="A52" s="90" t="n">
        <v>50</v>
      </c>
      <c r="B52" s="90" t="s">
        <v>98</v>
      </c>
      <c r="C52" s="90" t="s">
        <v>78</v>
      </c>
      <c r="D52" s="100" t="n">
        <v>660630</v>
      </c>
      <c r="E52" s="90"/>
      <c r="F52" s="90"/>
      <c r="G52" s="93" t="s">
        <v>28</v>
      </c>
      <c r="H52" s="92" t="s">
        <v>29</v>
      </c>
      <c r="I52" s="92"/>
      <c r="J52" s="92"/>
      <c r="K52" s="90" t="n">
        <f aca="false">I52-F52</f>
        <v>0</v>
      </c>
      <c r="L52" s="90"/>
      <c r="M52" s="90"/>
      <c r="N52" s="90"/>
      <c r="O52" s="90"/>
      <c r="P52" s="90"/>
      <c r="Q52" s="90"/>
      <c r="R52" s="90"/>
      <c r="S52" s="93" t="s">
        <v>28</v>
      </c>
      <c r="T52" s="90" t="s">
        <v>35</v>
      </c>
      <c r="U52" s="92" t="n">
        <v>44970</v>
      </c>
      <c r="V52" s="90" t="n">
        <f aca="false">U52-F52</f>
        <v>44970</v>
      </c>
      <c r="W52" s="90" t="s">
        <v>100</v>
      </c>
      <c r="X52" s="90"/>
      <c r="Y52" s="90"/>
    </row>
    <row r="53" customFormat="false" ht="37.5" hidden="false" customHeight="true" outlineLevel="0" collapsed="false">
      <c r="A53" s="3" t="n">
        <v>51</v>
      </c>
      <c r="B53" s="3" t="s">
        <v>101</v>
      </c>
      <c r="C53" s="3" t="s">
        <v>78</v>
      </c>
      <c r="D53" s="68" t="n">
        <v>668384</v>
      </c>
      <c r="E53" s="3" t="s">
        <v>27</v>
      </c>
      <c r="F53" s="5" t="n">
        <v>44959</v>
      </c>
      <c r="G53" s="6" t="s">
        <v>28</v>
      </c>
      <c r="H53" s="5" t="s">
        <v>29</v>
      </c>
      <c r="I53" s="5" t="n">
        <v>44993</v>
      </c>
      <c r="J53" s="126" t="n">
        <v>44995</v>
      </c>
      <c r="K53" s="3" t="n">
        <f aca="false">I53-F53</f>
        <v>34</v>
      </c>
      <c r="L53" s="3"/>
      <c r="M53" s="3"/>
      <c r="N53" s="3"/>
      <c r="O53" s="3"/>
      <c r="P53" s="3"/>
      <c r="Q53" s="3"/>
      <c r="R53" s="3"/>
      <c r="S53" s="6" t="s">
        <v>28</v>
      </c>
      <c r="T53" s="3" t="s">
        <v>35</v>
      </c>
      <c r="U53" s="3"/>
      <c r="V53" s="3" t="n">
        <f aca="false">U53-F53</f>
        <v>-44959</v>
      </c>
      <c r="W53" s="3"/>
      <c r="X53" s="3"/>
      <c r="Y53" s="3"/>
    </row>
    <row r="54" customFormat="false" ht="37.5" hidden="false" customHeight="true" outlineLevel="0" collapsed="false">
      <c r="A54" s="3" t="n">
        <v>52</v>
      </c>
      <c r="B54" s="3" t="s">
        <v>101</v>
      </c>
      <c r="C54" s="3" t="s">
        <v>78</v>
      </c>
      <c r="D54" s="68" t="n">
        <v>668385</v>
      </c>
      <c r="E54" s="3" t="s">
        <v>27</v>
      </c>
      <c r="F54" s="5" t="n">
        <v>44959</v>
      </c>
      <c r="G54" s="6" t="s">
        <v>28</v>
      </c>
      <c r="H54" s="5" t="s">
        <v>29</v>
      </c>
      <c r="I54" s="5" t="n">
        <v>44993</v>
      </c>
      <c r="J54" s="126" t="n">
        <v>44995</v>
      </c>
      <c r="K54" s="3" t="n">
        <f aca="false">I54-F54</f>
        <v>34</v>
      </c>
      <c r="L54" s="3"/>
      <c r="M54" s="3"/>
      <c r="N54" s="3"/>
      <c r="O54" s="3"/>
      <c r="P54" s="3"/>
      <c r="Q54" s="3"/>
      <c r="R54" s="3"/>
      <c r="S54" s="6" t="s">
        <v>28</v>
      </c>
      <c r="T54" s="3" t="s">
        <v>35</v>
      </c>
      <c r="U54" s="3"/>
      <c r="V54" s="3" t="n">
        <f aca="false">U54-F54</f>
        <v>-44959</v>
      </c>
      <c r="W54" s="3"/>
      <c r="X54" s="3"/>
      <c r="Y54" s="3"/>
    </row>
    <row r="55" customFormat="false" ht="37.5" hidden="false" customHeight="true" outlineLevel="0" collapsed="false">
      <c r="A55" s="3" t="n">
        <v>53</v>
      </c>
      <c r="B55" s="3" t="s">
        <v>101</v>
      </c>
      <c r="C55" s="3" t="s">
        <v>78</v>
      </c>
      <c r="D55" s="68" t="n">
        <v>668386</v>
      </c>
      <c r="E55" s="3" t="s">
        <v>45</v>
      </c>
      <c r="F55" s="5" t="n">
        <v>44959</v>
      </c>
      <c r="G55" s="6" t="s">
        <v>28</v>
      </c>
      <c r="H55" s="5" t="s">
        <v>29</v>
      </c>
      <c r="I55" s="5" t="n">
        <v>44993</v>
      </c>
      <c r="J55" s="126" t="n">
        <v>44995</v>
      </c>
      <c r="K55" s="3" t="n">
        <f aca="false">I55-F55</f>
        <v>34</v>
      </c>
      <c r="L55" s="3"/>
      <c r="M55" s="3"/>
      <c r="N55" s="3"/>
      <c r="O55" s="3"/>
      <c r="P55" s="3"/>
      <c r="Q55" s="3"/>
      <c r="R55" s="3"/>
      <c r="S55" s="6" t="s">
        <v>28</v>
      </c>
      <c r="T55" s="3" t="s">
        <v>35</v>
      </c>
      <c r="U55" s="3"/>
      <c r="V55" s="3" t="n">
        <f aca="false">U55-F55</f>
        <v>-44959</v>
      </c>
      <c r="W55" s="3"/>
      <c r="X55" s="3"/>
      <c r="Y55" s="3"/>
    </row>
    <row r="56" customFormat="false" ht="37.5" hidden="false" customHeight="true" outlineLevel="0" collapsed="false">
      <c r="A56" s="3" t="n">
        <v>54</v>
      </c>
      <c r="B56" s="3" t="s">
        <v>101</v>
      </c>
      <c r="C56" s="3" t="s">
        <v>78</v>
      </c>
      <c r="D56" s="68" t="n">
        <v>668556</v>
      </c>
      <c r="E56" s="3" t="s">
        <v>27</v>
      </c>
      <c r="F56" s="5" t="n">
        <v>44960</v>
      </c>
      <c r="G56" s="6" t="s">
        <v>28</v>
      </c>
      <c r="H56" s="5" t="s">
        <v>29</v>
      </c>
      <c r="I56" s="5" t="n">
        <v>44998</v>
      </c>
      <c r="J56" s="126" t="n">
        <v>45000</v>
      </c>
      <c r="K56" s="3" t="n">
        <f aca="false">I56-F56</f>
        <v>38</v>
      </c>
      <c r="L56" s="3"/>
      <c r="M56" s="3"/>
      <c r="N56" s="3"/>
      <c r="O56" s="3"/>
      <c r="P56" s="3"/>
      <c r="Q56" s="3"/>
      <c r="R56" s="3"/>
      <c r="S56" s="6" t="s">
        <v>28</v>
      </c>
      <c r="T56" s="3" t="s">
        <v>35</v>
      </c>
      <c r="U56" s="3"/>
      <c r="V56" s="3" t="n">
        <f aca="false">U56-F56</f>
        <v>-44960</v>
      </c>
      <c r="W56" s="3"/>
      <c r="X56" s="3"/>
      <c r="Y56" s="3"/>
    </row>
    <row r="57" customFormat="false" ht="37.5" hidden="false" customHeight="true" outlineLevel="0" collapsed="false">
      <c r="A57" s="3" t="n">
        <v>55</v>
      </c>
      <c r="B57" s="3" t="s">
        <v>101</v>
      </c>
      <c r="C57" s="3" t="s">
        <v>78</v>
      </c>
      <c r="D57" s="68" t="n">
        <v>668557</v>
      </c>
      <c r="E57" s="3" t="s">
        <v>27</v>
      </c>
      <c r="F57" s="5" t="n">
        <v>44960</v>
      </c>
      <c r="G57" s="6" t="s">
        <v>28</v>
      </c>
      <c r="H57" s="5" t="s">
        <v>29</v>
      </c>
      <c r="I57" s="5" t="n">
        <v>44998</v>
      </c>
      <c r="J57" s="126" t="n">
        <v>45000</v>
      </c>
      <c r="K57" s="3" t="n">
        <f aca="false">I57-F57</f>
        <v>38</v>
      </c>
      <c r="L57" s="3"/>
      <c r="M57" s="3"/>
      <c r="N57" s="3"/>
      <c r="O57" s="3"/>
      <c r="P57" s="3"/>
      <c r="Q57" s="3"/>
      <c r="R57" s="3"/>
      <c r="S57" s="6" t="s">
        <v>28</v>
      </c>
      <c r="T57" s="3" t="s">
        <v>35</v>
      </c>
      <c r="U57" s="3"/>
      <c r="V57" s="3" t="n">
        <f aca="false">U57-F57</f>
        <v>-44960</v>
      </c>
      <c r="W57" s="3"/>
      <c r="X57" s="3"/>
      <c r="Y57" s="3"/>
    </row>
    <row r="58" customFormat="false" ht="37.5" hidden="false" customHeight="true" outlineLevel="0" collapsed="false">
      <c r="A58" s="3" t="n">
        <v>56</v>
      </c>
      <c r="B58" s="3" t="s">
        <v>101</v>
      </c>
      <c r="C58" s="3" t="s">
        <v>78</v>
      </c>
      <c r="D58" s="68" t="n">
        <v>668558</v>
      </c>
      <c r="E58" s="3" t="s">
        <v>27</v>
      </c>
      <c r="F58" s="5" t="n">
        <v>44960</v>
      </c>
      <c r="G58" s="6" t="s">
        <v>28</v>
      </c>
      <c r="H58" s="5" t="s">
        <v>29</v>
      </c>
      <c r="I58" s="5" t="n">
        <v>44998</v>
      </c>
      <c r="J58" s="126" t="n">
        <v>45000</v>
      </c>
      <c r="K58" s="3" t="n">
        <f aca="false">I58-F58</f>
        <v>38</v>
      </c>
      <c r="L58" s="3"/>
      <c r="M58" s="3"/>
      <c r="N58" s="3"/>
      <c r="O58" s="3"/>
      <c r="P58" s="3"/>
      <c r="Q58" s="3"/>
      <c r="R58" s="3"/>
      <c r="S58" s="6" t="s">
        <v>28</v>
      </c>
      <c r="T58" s="3" t="s">
        <v>35</v>
      </c>
      <c r="U58" s="3"/>
      <c r="V58" s="3" t="n">
        <f aca="false">U58-F58</f>
        <v>-44960</v>
      </c>
      <c r="W58" s="3"/>
      <c r="X58" s="3"/>
      <c r="Y58" s="3"/>
    </row>
    <row r="59" customFormat="false" ht="37.5" hidden="false" customHeight="true" outlineLevel="0" collapsed="false">
      <c r="A59" s="3" t="n">
        <v>57</v>
      </c>
      <c r="B59" s="3" t="s">
        <v>101</v>
      </c>
      <c r="C59" s="3" t="s">
        <v>78</v>
      </c>
      <c r="D59" s="68" t="n">
        <v>668559</v>
      </c>
      <c r="E59" s="3" t="s">
        <v>45</v>
      </c>
      <c r="F59" s="5" t="n">
        <v>44960</v>
      </c>
      <c r="G59" s="6" t="s">
        <v>28</v>
      </c>
      <c r="H59" s="5" t="s">
        <v>29</v>
      </c>
      <c r="I59" s="5" t="n">
        <v>44998</v>
      </c>
      <c r="J59" s="126" t="n">
        <v>45000</v>
      </c>
      <c r="K59" s="3" t="n">
        <f aca="false">I59-F59</f>
        <v>38</v>
      </c>
      <c r="L59" s="3"/>
      <c r="M59" s="3"/>
      <c r="N59" s="3"/>
      <c r="O59" s="3"/>
      <c r="P59" s="3"/>
      <c r="Q59" s="3"/>
      <c r="R59" s="3"/>
      <c r="S59" s="6" t="s">
        <v>28</v>
      </c>
      <c r="T59" s="3" t="s">
        <v>35</v>
      </c>
      <c r="U59" s="3"/>
      <c r="V59" s="3" t="n">
        <f aca="false">U59-F59</f>
        <v>-44960</v>
      </c>
      <c r="W59" s="3"/>
      <c r="X59" s="3"/>
      <c r="Y59" s="3"/>
    </row>
    <row r="60" customFormat="false" ht="37.5" hidden="false" customHeight="true" outlineLevel="0" collapsed="false">
      <c r="A60" s="3" t="n">
        <v>58</v>
      </c>
      <c r="B60" s="3" t="s">
        <v>101</v>
      </c>
      <c r="C60" s="3" t="s">
        <v>78</v>
      </c>
      <c r="D60" s="68" t="n">
        <v>673993</v>
      </c>
      <c r="E60" s="3" t="s">
        <v>27</v>
      </c>
      <c r="F60" s="5" t="n">
        <v>44999</v>
      </c>
      <c r="G60" s="3"/>
      <c r="H60" s="5"/>
      <c r="I60" s="5" t="s">
        <v>102</v>
      </c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n">
        <f aca="false">U60-F60</f>
        <v>-44999</v>
      </c>
      <c r="W60" s="3"/>
      <c r="X60" s="3"/>
      <c r="Y60" s="3"/>
    </row>
    <row r="61" customFormat="false" ht="37.5" hidden="false" customHeight="true" outlineLevel="0" collapsed="false">
      <c r="A61" s="3" t="n">
        <v>59</v>
      </c>
      <c r="B61" s="3" t="s">
        <v>101</v>
      </c>
      <c r="C61" s="3" t="s">
        <v>78</v>
      </c>
      <c r="D61" s="68" t="n">
        <v>673994</v>
      </c>
      <c r="E61" s="3" t="s">
        <v>27</v>
      </c>
      <c r="F61" s="5" t="n">
        <v>44999</v>
      </c>
      <c r="G61" s="3"/>
      <c r="H61" s="5"/>
      <c r="I61" s="5" t="s">
        <v>102</v>
      </c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n">
        <f aca="false">U61-F61</f>
        <v>-44999</v>
      </c>
      <c r="W61" s="3"/>
      <c r="X61" s="3"/>
      <c r="Y61" s="3"/>
    </row>
    <row r="62" customFormat="false" ht="37.5" hidden="false" customHeight="true" outlineLevel="0" collapsed="false">
      <c r="A62" s="3" t="n">
        <v>60</v>
      </c>
      <c r="B62" s="3" t="s">
        <v>101</v>
      </c>
      <c r="C62" s="3" t="s">
        <v>78</v>
      </c>
      <c r="D62" s="68" t="n">
        <v>673996</v>
      </c>
      <c r="E62" s="3" t="s">
        <v>27</v>
      </c>
      <c r="F62" s="5" t="n">
        <v>44999</v>
      </c>
      <c r="G62" s="3"/>
      <c r="H62" s="5"/>
      <c r="I62" s="5" t="s">
        <v>102</v>
      </c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n">
        <f aca="false">U62-F62</f>
        <v>-44999</v>
      </c>
      <c r="W62" s="3"/>
      <c r="X62" s="3"/>
      <c r="Y62" s="3"/>
    </row>
    <row r="63" customFormat="false" ht="37.5" hidden="false" customHeight="true" outlineLevel="0" collapsed="false">
      <c r="A63" s="3" t="n">
        <v>61</v>
      </c>
      <c r="B63" s="3" t="s">
        <v>101</v>
      </c>
      <c r="C63" s="3" t="s">
        <v>78</v>
      </c>
      <c r="D63" s="68" t="n">
        <v>673998</v>
      </c>
      <c r="E63" s="3" t="s">
        <v>45</v>
      </c>
      <c r="F63" s="5" t="n">
        <v>44999</v>
      </c>
      <c r="G63" s="3"/>
      <c r="H63" s="5"/>
      <c r="I63" s="5" t="s">
        <v>102</v>
      </c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n">
        <f aca="false">U63-F63</f>
        <v>-44999</v>
      </c>
      <c r="W63" s="3"/>
      <c r="X63" s="3"/>
      <c r="Y63" s="3"/>
    </row>
    <row r="64" customFormat="false" ht="37.5" hidden="false" customHeight="true" outlineLevel="0" collapsed="false">
      <c r="A64" s="3" t="n">
        <v>62</v>
      </c>
      <c r="B64" s="3" t="s">
        <v>101</v>
      </c>
      <c r="C64" s="3" t="s">
        <v>78</v>
      </c>
      <c r="D64" s="68" t="n">
        <v>674000</v>
      </c>
      <c r="E64" s="3" t="s">
        <v>45</v>
      </c>
      <c r="F64" s="5" t="n">
        <v>44999</v>
      </c>
      <c r="G64" s="3"/>
      <c r="H64" s="5"/>
      <c r="I64" s="5" t="s">
        <v>102</v>
      </c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n">
        <f aca="false">U64-F64</f>
        <v>-44999</v>
      </c>
      <c r="W64" s="3"/>
      <c r="X64" s="3"/>
      <c r="Y64" s="3"/>
    </row>
    <row r="65" customFormat="false" ht="37.5" hidden="false" customHeight="true" outlineLevel="0" collapsed="false">
      <c r="A65" s="3" t="n">
        <v>63</v>
      </c>
      <c r="B65" s="3" t="s">
        <v>101</v>
      </c>
      <c r="C65" s="3" t="s">
        <v>78</v>
      </c>
      <c r="D65" s="68" t="n">
        <v>674093</v>
      </c>
      <c r="E65" s="3" t="s">
        <v>45</v>
      </c>
      <c r="F65" s="5" t="n">
        <v>44999</v>
      </c>
      <c r="G65" s="3"/>
      <c r="H65" s="5"/>
      <c r="I65" s="5" t="s">
        <v>102</v>
      </c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n">
        <f aca="false">U65-F65</f>
        <v>-44999</v>
      </c>
      <c r="W65" s="3"/>
      <c r="X65" s="3"/>
      <c r="Y65" s="3"/>
    </row>
    <row r="66" customFormat="false" ht="37.5" hidden="false" customHeight="true" outlineLevel="0" collapsed="false">
      <c r="A66" s="3"/>
      <c r="B66" s="3"/>
      <c r="C66" s="3"/>
      <c r="D66" s="68"/>
      <c r="E66" s="3"/>
      <c r="F66" s="5"/>
      <c r="G66" s="3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customFormat="false" ht="37.5" hidden="false" customHeight="true" outlineLevel="0" collapsed="false">
      <c r="A67" s="3"/>
      <c r="B67" s="3"/>
      <c r="C67" s="3"/>
      <c r="D67" s="68"/>
      <c r="E67" s="3"/>
      <c r="F67" s="5"/>
      <c r="G67" s="3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customFormat="false" ht="37.5" hidden="false" customHeight="true" outlineLevel="0" collapsed="false">
      <c r="A68" s="3"/>
      <c r="B68" s="3"/>
      <c r="C68" s="3"/>
      <c r="D68" s="68"/>
      <c r="E68" s="3"/>
      <c r="F68" s="5"/>
      <c r="G68" s="3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customFormat="false" ht="37.5" hidden="false" customHeight="true" outlineLevel="0" collapsed="false">
      <c r="A69" s="3"/>
      <c r="B69" s="3"/>
      <c r="C69" s="3"/>
      <c r="D69" s="68"/>
      <c r="E69" s="3"/>
      <c r="F69" s="5"/>
      <c r="G69" s="3"/>
      <c r="H69" s="5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customFormat="false" ht="37.5" hidden="false" customHeight="true" outlineLevel="0" collapsed="false">
      <c r="A70" s="3"/>
      <c r="B70" s="3"/>
      <c r="C70" s="3"/>
      <c r="D70" s="68"/>
      <c r="E70" s="3"/>
      <c r="F70" s="5"/>
      <c r="G70" s="3"/>
      <c r="H70" s="5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customFormat="false" ht="37.5" hidden="false" customHeight="true" outlineLevel="0" collapsed="false">
      <c r="A71" s="3"/>
      <c r="B71" s="3"/>
      <c r="C71" s="3"/>
      <c r="D71" s="68"/>
      <c r="E71" s="3"/>
      <c r="F71" s="5"/>
      <c r="G71" s="3"/>
      <c r="H71" s="5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customFormat="false" ht="37.5" hidden="false" customHeight="true" outlineLevel="0" collapsed="false">
      <c r="A72" s="3"/>
      <c r="B72" s="3"/>
      <c r="C72" s="3"/>
      <c r="D72" s="68"/>
      <c r="E72" s="3"/>
      <c r="F72" s="5"/>
      <c r="G72" s="3"/>
      <c r="H72" s="5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customFormat="false" ht="37.5" hidden="false" customHeight="true" outlineLevel="0" collapsed="false">
      <c r="A73" s="3"/>
      <c r="B73" s="3"/>
      <c r="C73" s="3"/>
      <c r="D73" s="68"/>
      <c r="E73" s="3"/>
      <c r="F73" s="5"/>
      <c r="G73" s="3"/>
      <c r="H73" s="5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customFormat="false" ht="37.5" hidden="false" customHeight="true" outlineLevel="0" collapsed="false">
      <c r="A74" s="3"/>
      <c r="B74" s="3"/>
      <c r="C74" s="3"/>
      <c r="D74" s="68"/>
      <c r="E74" s="3"/>
      <c r="F74" s="5"/>
      <c r="G74" s="3"/>
      <c r="H74" s="5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customFormat="false" ht="37.5" hidden="false" customHeight="true" outlineLevel="0" collapsed="false">
      <c r="A75" s="3"/>
      <c r="B75" s="3"/>
      <c r="C75" s="3"/>
      <c r="D75" s="68"/>
      <c r="E75" s="3"/>
      <c r="F75" s="5"/>
      <c r="G75" s="3"/>
      <c r="H75" s="5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customFormat="false" ht="37.5" hidden="false" customHeight="true" outlineLevel="0" collapsed="false">
      <c r="A76" s="3"/>
      <c r="B76" s="3"/>
      <c r="C76" s="3"/>
      <c r="D76" s="68"/>
      <c r="E76" s="3"/>
      <c r="F76" s="5"/>
      <c r="G76" s="3"/>
      <c r="H76" s="5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customFormat="false" ht="37.5" hidden="false" customHeight="true" outlineLevel="0" collapsed="false">
      <c r="A77" s="3"/>
      <c r="B77" s="3"/>
      <c r="C77" s="3"/>
      <c r="D77" s="68"/>
      <c r="E77" s="3"/>
      <c r="F77" s="5"/>
      <c r="G77" s="3"/>
      <c r="H77" s="5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customFormat="false" ht="37.5" hidden="false" customHeight="true" outlineLevel="0" collapsed="false">
      <c r="A78" s="3"/>
      <c r="B78" s="3"/>
      <c r="C78" s="3"/>
      <c r="D78" s="68"/>
      <c r="E78" s="3"/>
      <c r="F78" s="5"/>
      <c r="G78" s="3"/>
      <c r="H78" s="5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customFormat="false" ht="37.5" hidden="false" customHeight="true" outlineLevel="0" collapsed="false">
      <c r="A79" s="3"/>
      <c r="B79" s="3"/>
      <c r="C79" s="3"/>
      <c r="D79" s="68"/>
      <c r="E79" s="3"/>
      <c r="F79" s="5"/>
      <c r="G79" s="3"/>
      <c r="H79" s="5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customFormat="false" ht="37.5" hidden="false" customHeight="true" outlineLevel="0" collapsed="false">
      <c r="A80" s="3"/>
      <c r="B80" s="3"/>
      <c r="C80" s="3"/>
      <c r="D80" s="68"/>
      <c r="E80" s="3"/>
      <c r="F80" s="5"/>
      <c r="G80" s="3"/>
      <c r="H80" s="5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customFormat="false" ht="37.5" hidden="false" customHeight="true" outlineLevel="0" collapsed="false">
      <c r="A81" s="3"/>
      <c r="B81" s="3"/>
      <c r="C81" s="3"/>
      <c r="D81" s="68"/>
      <c r="E81" s="3"/>
      <c r="F81" s="5"/>
      <c r="G81" s="3"/>
      <c r="H81" s="5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customFormat="false" ht="37.5" hidden="false" customHeight="true" outlineLevel="0" collapsed="false">
      <c r="A82" s="3"/>
      <c r="B82" s="3"/>
      <c r="C82" s="3"/>
      <c r="D82" s="68"/>
      <c r="E82" s="3"/>
      <c r="F82" s="5"/>
      <c r="G82" s="3"/>
      <c r="H82" s="5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customFormat="false" ht="37.5" hidden="false" customHeight="true" outlineLevel="0" collapsed="false">
      <c r="A83" s="3"/>
      <c r="B83" s="3"/>
      <c r="C83" s="3"/>
      <c r="D83" s="68"/>
      <c r="E83" s="3"/>
      <c r="F83" s="5"/>
      <c r="G83" s="3"/>
      <c r="H83" s="5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customFormat="false" ht="37.5" hidden="false" customHeight="true" outlineLevel="0" collapsed="false">
      <c r="A84" s="3"/>
      <c r="B84" s="3"/>
      <c r="C84" s="3"/>
      <c r="D84" s="68"/>
      <c r="E84" s="3"/>
      <c r="F84" s="5"/>
      <c r="G84" s="3"/>
      <c r="H84" s="5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customFormat="false" ht="37.5" hidden="false" customHeight="true" outlineLevel="0" collapsed="false">
      <c r="A85" s="3"/>
      <c r="B85" s="3"/>
      <c r="C85" s="3"/>
      <c r="D85" s="68"/>
      <c r="E85" s="3"/>
      <c r="F85" s="5"/>
      <c r="G85" s="3"/>
      <c r="H85" s="5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customFormat="false" ht="37.5" hidden="false" customHeight="true" outlineLevel="0" collapsed="false">
      <c r="A86" s="3"/>
      <c r="B86" s="3"/>
      <c r="C86" s="3"/>
      <c r="D86" s="68"/>
      <c r="E86" s="3"/>
      <c r="F86" s="5"/>
      <c r="G86" s="3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customFormat="false" ht="37.5" hidden="false" customHeight="true" outlineLevel="0" collapsed="false">
      <c r="A87" s="3"/>
      <c r="B87" s="3"/>
      <c r="C87" s="3"/>
      <c r="D87" s="68"/>
      <c r="E87" s="3"/>
      <c r="F87" s="5"/>
      <c r="G87" s="3"/>
      <c r="H87" s="5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customFormat="false" ht="37.5" hidden="false" customHeight="true" outlineLevel="0" collapsed="false">
      <c r="A88" s="3"/>
      <c r="B88" s="3"/>
      <c r="C88" s="3"/>
      <c r="D88" s="68"/>
      <c r="E88" s="3"/>
      <c r="F88" s="5"/>
      <c r="G88" s="3"/>
      <c r="H88" s="5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customFormat="false" ht="37.5" hidden="false" customHeight="true" outlineLevel="0" collapsed="false">
      <c r="A89" s="3"/>
      <c r="B89" s="3"/>
      <c r="C89" s="3"/>
      <c r="D89" s="68"/>
      <c r="E89" s="3"/>
      <c r="F89" s="5"/>
      <c r="G89" s="3"/>
      <c r="H89" s="5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customFormat="false" ht="37.5" hidden="false" customHeight="true" outlineLevel="0" collapsed="false">
      <c r="D90" s="127"/>
    </row>
    <row r="91" customFormat="false" ht="37.5" hidden="false" customHeight="true" outlineLevel="0" collapsed="false">
      <c r="D91" s="127"/>
    </row>
    <row r="92" customFormat="false" ht="37.5" hidden="false" customHeight="true" outlineLevel="0" collapsed="false">
      <c r="D92" s="127"/>
    </row>
    <row r="93" customFormat="false" ht="37.5" hidden="false" customHeight="true" outlineLevel="0" collapsed="false">
      <c r="D93" s="127"/>
    </row>
    <row r="94" customFormat="false" ht="37.5" hidden="false" customHeight="true" outlineLevel="0" collapsed="false">
      <c r="D94" s="127"/>
    </row>
    <row r="95" customFormat="false" ht="37.5" hidden="false" customHeight="true" outlineLevel="0" collapsed="false">
      <c r="D95" s="127"/>
    </row>
    <row r="96" customFormat="false" ht="37.5" hidden="false" customHeight="true" outlineLevel="0" collapsed="false">
      <c r="D96" s="127"/>
    </row>
    <row r="97" customFormat="false" ht="37.5" hidden="false" customHeight="true" outlineLevel="0" collapsed="false">
      <c r="D97" s="127"/>
    </row>
    <row r="98" customFormat="false" ht="37.5" hidden="false" customHeight="true" outlineLevel="0" collapsed="false">
      <c r="D98" s="127"/>
    </row>
    <row r="99" customFormat="false" ht="37.5" hidden="false" customHeight="true" outlineLevel="0" collapsed="false">
      <c r="D99" s="127"/>
    </row>
    <row r="100" customFormat="false" ht="37.5" hidden="false" customHeight="true" outlineLevel="0" collapsed="false">
      <c r="D100" s="127"/>
    </row>
    <row r="101" customFormat="false" ht="37.5" hidden="false" customHeight="true" outlineLevel="0" collapsed="false">
      <c r="D101" s="1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M42" activeCellId="0" sqref="M42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9.71"/>
    <col collapsed="false" customWidth="true" hidden="false" outlineLevel="0" max="3" min="3" style="0" width="22.28"/>
    <col collapsed="false" customWidth="true" hidden="false" outlineLevel="0" max="4" min="4" style="128" width="9.29"/>
    <col collapsed="false" customWidth="true" hidden="false" outlineLevel="0" max="6" min="6" style="0" width="10.71"/>
    <col collapsed="false" customWidth="true" hidden="false" outlineLevel="0" max="7" min="7" style="0" width="13.7"/>
    <col collapsed="false" customWidth="true" hidden="false" outlineLevel="0" max="8" min="8" style="0" width="11.57"/>
    <col collapsed="false" customWidth="true" hidden="false" outlineLevel="0" max="9" min="9" style="0" width="12.29"/>
    <col collapsed="false" customWidth="true" hidden="false" outlineLevel="0" max="10" min="10" style="0" width="25.29"/>
    <col collapsed="false" customWidth="true" hidden="false" outlineLevel="0" max="12" min="11" style="0" width="10.99"/>
    <col collapsed="false" customWidth="true" hidden="false" outlineLevel="0" max="13" min="13" style="0" width="12.57"/>
    <col collapsed="false" customWidth="true" hidden="false" outlineLevel="0" max="14" min="14" style="0" width="12.71"/>
    <col collapsed="false" customWidth="true" hidden="false" outlineLevel="0" max="16" min="16" style="0" width="12.29"/>
    <col collapsed="false" customWidth="true" hidden="false" outlineLevel="0" max="17" min="17" style="0" width="13.7"/>
    <col collapsed="false" customWidth="true" hidden="false" outlineLevel="0" max="18" min="18" style="0" width="16.71"/>
    <col collapsed="false" customWidth="true" hidden="false" outlineLevel="0" max="19" min="19" style="0" width="18"/>
    <col collapsed="false" customWidth="true" hidden="false" outlineLevel="0" max="20" min="20" style="0" width="13.29"/>
    <col collapsed="false" customWidth="true" hidden="false" outlineLevel="0" max="21" min="21" style="0" width="40.71"/>
    <col collapsed="false" customWidth="true" hidden="false" outlineLevel="0" max="22" min="22" style="0" width="43.85"/>
  </cols>
  <sheetData>
    <row r="1" customFormat="false" ht="31.5" hidden="false" customHeight="true" outlineLevel="0" collapsed="false"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30" t="s">
        <v>6</v>
      </c>
      <c r="H1" s="131" t="s">
        <v>7</v>
      </c>
      <c r="I1" s="129" t="s">
        <v>103</v>
      </c>
      <c r="J1" s="129" t="s">
        <v>11</v>
      </c>
      <c r="K1" s="129" t="s">
        <v>12</v>
      </c>
      <c r="L1" s="129" t="s">
        <v>13</v>
      </c>
      <c r="M1" s="129" t="s">
        <v>14</v>
      </c>
      <c r="N1" s="131" t="s">
        <v>15</v>
      </c>
      <c r="O1" s="132" t="s">
        <v>16</v>
      </c>
      <c r="P1" s="133" t="s">
        <v>104</v>
      </c>
      <c r="Q1" s="131" t="s">
        <v>18</v>
      </c>
      <c r="R1" s="134" t="s">
        <v>19</v>
      </c>
      <c r="S1" s="129" t="s">
        <v>20</v>
      </c>
      <c r="T1" s="131" t="s">
        <v>21</v>
      </c>
      <c r="U1" s="129" t="s">
        <v>104</v>
      </c>
      <c r="V1" s="129" t="s">
        <v>105</v>
      </c>
    </row>
    <row r="2" customFormat="false" ht="16.5" hidden="false" customHeight="true" outlineLevel="0" collapsed="false">
      <c r="A2" s="135" t="n">
        <v>1</v>
      </c>
      <c r="B2" s="136" t="s">
        <v>97</v>
      </c>
      <c r="C2" s="137" t="s">
        <v>106</v>
      </c>
      <c r="D2" s="138" t="n">
        <v>665081</v>
      </c>
      <c r="E2" s="135" t="s">
        <v>27</v>
      </c>
      <c r="F2" s="139" t="n">
        <v>44936</v>
      </c>
      <c r="G2" s="140" t="s">
        <v>28</v>
      </c>
      <c r="H2" s="139" t="n">
        <v>44971</v>
      </c>
      <c r="I2" s="135" t="n">
        <f aca="false">H2-F2</f>
        <v>35</v>
      </c>
      <c r="J2" s="141" t="s">
        <v>30</v>
      </c>
      <c r="K2" s="128" t="s">
        <v>31</v>
      </c>
      <c r="L2" s="142" t="n">
        <v>41300000000000</v>
      </c>
      <c r="M2" s="143" t="n">
        <v>600000000</v>
      </c>
      <c r="N2" s="135" t="s">
        <v>107</v>
      </c>
      <c r="O2" s="135" t="s">
        <v>33</v>
      </c>
      <c r="P2" s="135" t="s">
        <v>108</v>
      </c>
      <c r="Q2" s="140" t="s">
        <v>28</v>
      </c>
      <c r="R2" s="137" t="s">
        <v>35</v>
      </c>
      <c r="S2" s="144" t="n">
        <v>45006</v>
      </c>
      <c r="T2" s="135" t="n">
        <f aca="false">DATEDIF(F2,S2,"d")</f>
        <v>70</v>
      </c>
      <c r="U2" s="135" t="s">
        <v>109</v>
      </c>
    </row>
    <row r="3" s="148" customFormat="true" ht="15" hidden="false" customHeight="true" outlineLevel="0" collapsed="false">
      <c r="A3" s="135"/>
      <c r="B3" s="136"/>
      <c r="C3" s="137"/>
      <c r="D3" s="138"/>
      <c r="E3" s="135"/>
      <c r="F3" s="139"/>
      <c r="G3" s="140"/>
      <c r="H3" s="139"/>
      <c r="I3" s="135"/>
      <c r="J3" s="145" t="s">
        <v>48</v>
      </c>
      <c r="K3" s="146" t="s">
        <v>110</v>
      </c>
      <c r="L3" s="147" t="n">
        <v>30700000000000</v>
      </c>
      <c r="M3" s="147" t="n">
        <v>180000000000</v>
      </c>
      <c r="N3" s="135"/>
      <c r="O3" s="135"/>
      <c r="P3" s="135"/>
      <c r="Q3" s="140"/>
      <c r="R3" s="137"/>
      <c r="S3" s="144"/>
      <c r="T3" s="144"/>
      <c r="U3" s="144"/>
    </row>
    <row r="4" customFormat="false" ht="15" hidden="false" customHeight="true" outlineLevel="0" collapsed="false">
      <c r="A4" s="135" t="n">
        <v>2</v>
      </c>
      <c r="B4" s="136" t="s">
        <v>97</v>
      </c>
      <c r="C4" s="137" t="s">
        <v>106</v>
      </c>
      <c r="D4" s="138" t="n">
        <v>665082</v>
      </c>
      <c r="E4" s="135" t="s">
        <v>27</v>
      </c>
      <c r="F4" s="139" t="n">
        <v>44936</v>
      </c>
      <c r="G4" s="140" t="s">
        <v>28</v>
      </c>
      <c r="H4" s="139" t="n">
        <v>44971</v>
      </c>
      <c r="I4" s="135" t="n">
        <f aca="false">H4-F4</f>
        <v>35</v>
      </c>
      <c r="J4" s="141" t="s">
        <v>30</v>
      </c>
      <c r="K4" s="128" t="s">
        <v>31</v>
      </c>
      <c r="L4" s="142" t="n">
        <v>41300000000000</v>
      </c>
      <c r="M4" s="143" t="n">
        <v>600000000</v>
      </c>
      <c r="N4" s="135" t="s">
        <v>107</v>
      </c>
      <c r="O4" s="135" t="s">
        <v>33</v>
      </c>
      <c r="P4" s="135" t="s">
        <v>111</v>
      </c>
      <c r="Q4" s="140" t="s">
        <v>28</v>
      </c>
      <c r="R4" s="137" t="s">
        <v>35</v>
      </c>
      <c r="S4" s="144" t="n">
        <v>45006</v>
      </c>
      <c r="T4" s="135" t="n">
        <f aca="false">DATEDIF(F4,S4,"d")</f>
        <v>70</v>
      </c>
      <c r="U4" s="135" t="s">
        <v>36</v>
      </c>
    </row>
    <row r="5" s="148" customFormat="true" ht="15" hidden="false" customHeight="false" outlineLevel="0" collapsed="false">
      <c r="A5" s="135"/>
      <c r="B5" s="136"/>
      <c r="C5" s="137"/>
      <c r="D5" s="138"/>
      <c r="E5" s="135"/>
      <c r="F5" s="139"/>
      <c r="G5" s="140"/>
      <c r="H5" s="139"/>
      <c r="I5" s="135"/>
      <c r="J5" s="145" t="s">
        <v>48</v>
      </c>
      <c r="K5" s="146" t="s">
        <v>110</v>
      </c>
      <c r="L5" s="147" t="n">
        <v>30700000000000</v>
      </c>
      <c r="M5" s="147" t="n">
        <v>180000000000</v>
      </c>
      <c r="N5" s="135"/>
      <c r="O5" s="135"/>
      <c r="P5" s="135"/>
      <c r="Q5" s="140"/>
      <c r="R5" s="137"/>
      <c r="S5" s="144"/>
      <c r="T5" s="144"/>
      <c r="U5" s="144"/>
    </row>
    <row r="6" customFormat="false" ht="15" hidden="false" customHeight="true" outlineLevel="0" collapsed="false">
      <c r="A6" s="135" t="n">
        <v>3</v>
      </c>
      <c r="B6" s="136" t="s">
        <v>97</v>
      </c>
      <c r="C6" s="137" t="s">
        <v>106</v>
      </c>
      <c r="D6" s="138" t="n">
        <v>665083</v>
      </c>
      <c r="E6" s="135" t="s">
        <v>27</v>
      </c>
      <c r="F6" s="139" t="n">
        <v>44936</v>
      </c>
      <c r="G6" s="140" t="s">
        <v>28</v>
      </c>
      <c r="H6" s="139" t="n">
        <v>44971</v>
      </c>
      <c r="I6" s="135" t="n">
        <f aca="false">H6-F6</f>
        <v>35</v>
      </c>
      <c r="J6" s="141" t="s">
        <v>30</v>
      </c>
      <c r="K6" s="128" t="s">
        <v>31</v>
      </c>
      <c r="L6" s="142" t="n">
        <v>41300000000000</v>
      </c>
      <c r="M6" s="143" t="n">
        <v>600000000</v>
      </c>
      <c r="N6" s="135" t="s">
        <v>107</v>
      </c>
      <c r="O6" s="135" t="s">
        <v>33</v>
      </c>
      <c r="P6" s="135" t="s">
        <v>36</v>
      </c>
      <c r="Q6" s="140" t="s">
        <v>28</v>
      </c>
      <c r="R6" s="137" t="s">
        <v>35</v>
      </c>
      <c r="S6" s="144" t="n">
        <v>45006</v>
      </c>
      <c r="T6" s="135" t="n">
        <f aca="false">DATEDIF(F6,S6,"d")</f>
        <v>70</v>
      </c>
      <c r="U6" s="135" t="s">
        <v>36</v>
      </c>
    </row>
    <row r="7" s="148" customFormat="true" ht="15" hidden="false" customHeight="false" outlineLevel="0" collapsed="false">
      <c r="A7" s="135"/>
      <c r="B7" s="136"/>
      <c r="C7" s="137"/>
      <c r="D7" s="138"/>
      <c r="E7" s="135"/>
      <c r="F7" s="139"/>
      <c r="G7" s="140"/>
      <c r="H7" s="139"/>
      <c r="I7" s="135"/>
      <c r="J7" s="145" t="s">
        <v>48</v>
      </c>
      <c r="K7" s="146" t="s">
        <v>110</v>
      </c>
      <c r="L7" s="147" t="n">
        <v>30700000000000</v>
      </c>
      <c r="M7" s="147" t="n">
        <v>180000000000</v>
      </c>
      <c r="N7" s="135"/>
      <c r="O7" s="135"/>
      <c r="P7" s="135"/>
      <c r="Q7" s="140"/>
      <c r="R7" s="137"/>
      <c r="S7" s="144"/>
      <c r="T7" s="144"/>
      <c r="U7" s="144"/>
    </row>
    <row r="8" customFormat="false" ht="15" hidden="false" customHeight="true" outlineLevel="0" collapsed="false">
      <c r="A8" s="135" t="n">
        <v>4</v>
      </c>
      <c r="B8" s="136" t="s">
        <v>97</v>
      </c>
      <c r="C8" s="137" t="s">
        <v>106</v>
      </c>
      <c r="D8" s="149" t="n">
        <v>667267</v>
      </c>
      <c r="E8" s="135" t="s">
        <v>27</v>
      </c>
      <c r="F8" s="139" t="n">
        <v>44949</v>
      </c>
      <c r="G8" s="140" t="s">
        <v>28</v>
      </c>
      <c r="H8" s="139" t="n">
        <v>44984</v>
      </c>
      <c r="I8" s="135" t="n">
        <f aca="false">H8-F8</f>
        <v>35</v>
      </c>
      <c r="J8" s="150" t="s">
        <v>30</v>
      </c>
      <c r="K8" s="128" t="s">
        <v>31</v>
      </c>
      <c r="L8" s="142" t="n">
        <v>41300000000000</v>
      </c>
      <c r="M8" s="143" t="n">
        <v>600000000</v>
      </c>
      <c r="N8" s="135" t="s">
        <v>107</v>
      </c>
      <c r="O8" s="135" t="s">
        <v>33</v>
      </c>
      <c r="P8" s="135" t="s">
        <v>36</v>
      </c>
      <c r="Q8" s="140" t="s">
        <v>28</v>
      </c>
      <c r="R8" s="137" t="s">
        <v>35</v>
      </c>
      <c r="S8" s="144" t="n">
        <v>45012</v>
      </c>
      <c r="T8" s="135" t="n">
        <f aca="false">DATEDIF(F8,S8,"d")</f>
        <v>63</v>
      </c>
      <c r="U8" s="135" t="s">
        <v>36</v>
      </c>
    </row>
    <row r="9" s="148" customFormat="true" ht="15" hidden="false" customHeight="false" outlineLevel="0" collapsed="false">
      <c r="A9" s="135"/>
      <c r="B9" s="136"/>
      <c r="C9" s="137"/>
      <c r="D9" s="149"/>
      <c r="E9" s="135"/>
      <c r="F9" s="139"/>
      <c r="G9" s="140"/>
      <c r="H9" s="139"/>
      <c r="I9" s="135"/>
      <c r="J9" s="145" t="s">
        <v>39</v>
      </c>
      <c r="K9" s="146" t="s">
        <v>112</v>
      </c>
      <c r="L9" s="147" t="n">
        <v>12500000000000</v>
      </c>
      <c r="M9" s="147" t="n">
        <v>180000000000</v>
      </c>
      <c r="N9" s="135"/>
      <c r="O9" s="135"/>
      <c r="P9" s="135"/>
      <c r="Q9" s="140"/>
      <c r="R9" s="137"/>
      <c r="S9" s="144"/>
      <c r="T9" s="144"/>
      <c r="U9" s="144"/>
    </row>
    <row r="10" customFormat="false" ht="15" hidden="false" customHeight="true" outlineLevel="0" collapsed="false">
      <c r="A10" s="135" t="n">
        <v>5</v>
      </c>
      <c r="B10" s="137" t="s">
        <v>101</v>
      </c>
      <c r="C10" s="137" t="s">
        <v>106</v>
      </c>
      <c r="D10" s="149" t="n">
        <v>667996</v>
      </c>
      <c r="E10" s="135" t="s">
        <v>27</v>
      </c>
      <c r="F10" s="139" t="n">
        <v>44958</v>
      </c>
      <c r="G10" s="140" t="s">
        <v>28</v>
      </c>
      <c r="H10" s="139" t="n">
        <v>44993</v>
      </c>
      <c r="I10" s="135" t="n">
        <f aca="false">H10-F10</f>
        <v>35</v>
      </c>
      <c r="J10" s="150" t="s">
        <v>30</v>
      </c>
      <c r="K10" s="128" t="s">
        <v>31</v>
      </c>
      <c r="L10" s="142" t="n">
        <v>41300000000000</v>
      </c>
      <c r="M10" s="143" t="n">
        <v>100000000</v>
      </c>
      <c r="N10" s="135" t="s">
        <v>107</v>
      </c>
      <c r="O10" s="135" t="s">
        <v>33</v>
      </c>
      <c r="P10" s="135" t="s">
        <v>36</v>
      </c>
      <c r="Q10" s="140" t="s">
        <v>28</v>
      </c>
      <c r="R10" s="137" t="s">
        <v>35</v>
      </c>
      <c r="S10" s="151" t="n">
        <v>45028</v>
      </c>
      <c r="T10" s="152" t="n">
        <f aca="false">DATEDIF(F10,S10,"d")</f>
        <v>70</v>
      </c>
      <c r="V10" s="135" t="s">
        <v>113</v>
      </c>
    </row>
    <row r="11" s="148" customFormat="true" ht="15" hidden="false" customHeight="false" outlineLevel="0" collapsed="false">
      <c r="A11" s="135"/>
      <c r="B11" s="137"/>
      <c r="C11" s="137"/>
      <c r="D11" s="149"/>
      <c r="E11" s="135"/>
      <c r="F11" s="139"/>
      <c r="G11" s="140"/>
      <c r="H11" s="139"/>
      <c r="I11" s="135"/>
      <c r="J11" s="145" t="s">
        <v>39</v>
      </c>
      <c r="K11" s="146" t="s">
        <v>114</v>
      </c>
      <c r="L11" s="147" t="n">
        <v>47500000000000</v>
      </c>
      <c r="M11" s="147" t="n">
        <v>180000000000</v>
      </c>
      <c r="N11" s="135"/>
      <c r="O11" s="135"/>
      <c r="P11" s="135"/>
      <c r="Q11" s="140"/>
      <c r="R11" s="137"/>
      <c r="S11" s="151"/>
      <c r="T11" s="152"/>
      <c r="V11" s="135"/>
    </row>
    <row r="12" customFormat="false" ht="15" hidden="false" customHeight="true" outlineLevel="0" collapsed="false">
      <c r="A12" s="135" t="n">
        <v>6</v>
      </c>
      <c r="B12" s="137" t="s">
        <v>101</v>
      </c>
      <c r="C12" s="137" t="s">
        <v>106</v>
      </c>
      <c r="D12" s="149" t="n">
        <v>667997</v>
      </c>
      <c r="E12" s="135" t="s">
        <v>27</v>
      </c>
      <c r="F12" s="139" t="n">
        <v>44958</v>
      </c>
      <c r="G12" s="140" t="s">
        <v>28</v>
      </c>
      <c r="H12" s="139" t="n">
        <v>44993</v>
      </c>
      <c r="I12" s="135" t="n">
        <f aca="false">H12-F12</f>
        <v>35</v>
      </c>
      <c r="J12" s="150" t="s">
        <v>30</v>
      </c>
      <c r="K12" s="128" t="s">
        <v>31</v>
      </c>
      <c r="L12" s="142" t="n">
        <v>41300000000000</v>
      </c>
      <c r="M12" s="143" t="n">
        <v>100000000</v>
      </c>
      <c r="N12" s="135" t="s">
        <v>107</v>
      </c>
      <c r="O12" s="135" t="s">
        <v>33</v>
      </c>
      <c r="P12" s="135" t="s">
        <v>36</v>
      </c>
      <c r="Q12" s="140" t="s">
        <v>28</v>
      </c>
      <c r="R12" s="137" t="s">
        <v>35</v>
      </c>
      <c r="S12" s="151" t="n">
        <v>45028</v>
      </c>
      <c r="T12" s="152" t="n">
        <f aca="false">DATEDIF(F12,S12,"d")</f>
        <v>70</v>
      </c>
      <c r="V12" s="135" t="s">
        <v>113</v>
      </c>
    </row>
    <row r="13" s="148" customFormat="true" ht="15" hidden="false" customHeight="false" outlineLevel="0" collapsed="false">
      <c r="A13" s="135"/>
      <c r="B13" s="137"/>
      <c r="C13" s="137"/>
      <c r="D13" s="149"/>
      <c r="E13" s="135"/>
      <c r="F13" s="139"/>
      <c r="G13" s="140"/>
      <c r="H13" s="139"/>
      <c r="I13" s="135"/>
      <c r="J13" s="145" t="s">
        <v>39</v>
      </c>
      <c r="K13" s="146" t="s">
        <v>114</v>
      </c>
      <c r="L13" s="147" t="n">
        <v>47500000000000</v>
      </c>
      <c r="M13" s="147" t="n">
        <v>180000000000</v>
      </c>
      <c r="N13" s="135"/>
      <c r="O13" s="135"/>
      <c r="P13" s="135"/>
      <c r="Q13" s="140"/>
      <c r="R13" s="137"/>
      <c r="S13" s="151"/>
      <c r="T13" s="152"/>
      <c r="V13" s="135"/>
    </row>
    <row r="14" customFormat="false" ht="15" hidden="false" customHeight="true" outlineLevel="0" collapsed="false">
      <c r="A14" s="135" t="n">
        <v>7</v>
      </c>
      <c r="B14" s="137" t="s">
        <v>101</v>
      </c>
      <c r="C14" s="137" t="s">
        <v>106</v>
      </c>
      <c r="D14" s="149" t="n">
        <v>667998</v>
      </c>
      <c r="E14" s="135" t="s">
        <v>45</v>
      </c>
      <c r="F14" s="139" t="n">
        <v>44958</v>
      </c>
      <c r="G14" s="140" t="s">
        <v>28</v>
      </c>
      <c r="H14" s="139" t="n">
        <v>44993</v>
      </c>
      <c r="I14" s="135" t="n">
        <f aca="false">H14-F14</f>
        <v>35</v>
      </c>
      <c r="J14" s="150" t="s">
        <v>30</v>
      </c>
      <c r="K14" s="128" t="s">
        <v>31</v>
      </c>
      <c r="L14" s="142" t="n">
        <v>41300000000000</v>
      </c>
      <c r="M14" s="143" t="n">
        <v>100000000</v>
      </c>
      <c r="N14" s="135" t="s">
        <v>107</v>
      </c>
      <c r="O14" s="135" t="s">
        <v>33</v>
      </c>
      <c r="P14" s="135" t="s">
        <v>36</v>
      </c>
      <c r="Q14" s="140" t="s">
        <v>28</v>
      </c>
      <c r="R14" s="137" t="s">
        <v>35</v>
      </c>
      <c r="S14" s="151" t="n">
        <v>45028</v>
      </c>
      <c r="T14" s="152" t="n">
        <f aca="false">DATEDIF(F14,S14,"d")</f>
        <v>70</v>
      </c>
      <c r="V14" s="135" t="s">
        <v>113</v>
      </c>
    </row>
    <row r="15" s="148" customFormat="true" ht="15" hidden="false" customHeight="false" outlineLevel="0" collapsed="false">
      <c r="A15" s="135"/>
      <c r="B15" s="137"/>
      <c r="C15" s="137"/>
      <c r="D15" s="149"/>
      <c r="E15" s="135"/>
      <c r="F15" s="139"/>
      <c r="G15" s="140"/>
      <c r="H15" s="139"/>
      <c r="I15" s="135"/>
      <c r="J15" s="145" t="s">
        <v>39</v>
      </c>
      <c r="K15" s="146" t="s">
        <v>114</v>
      </c>
      <c r="L15" s="147" t="n">
        <v>47500000000000</v>
      </c>
      <c r="M15" s="147" t="n">
        <v>180000000000</v>
      </c>
      <c r="N15" s="135"/>
      <c r="O15" s="135"/>
      <c r="P15" s="135"/>
      <c r="Q15" s="140"/>
      <c r="R15" s="137"/>
      <c r="S15" s="151"/>
      <c r="T15" s="152"/>
      <c r="V15" s="135"/>
    </row>
    <row r="16" customFormat="false" ht="15" hidden="false" customHeight="true" outlineLevel="0" collapsed="false">
      <c r="A16" s="135" t="n">
        <v>8</v>
      </c>
      <c r="B16" s="137" t="s">
        <v>101</v>
      </c>
      <c r="C16" s="137" t="s">
        <v>106</v>
      </c>
      <c r="D16" s="153" t="n">
        <v>675057</v>
      </c>
      <c r="E16" s="135" t="s">
        <v>27</v>
      </c>
      <c r="F16" s="139" t="n">
        <v>45006</v>
      </c>
      <c r="G16" s="140"/>
      <c r="H16" s="139"/>
      <c r="I16" s="135" t="n">
        <f aca="false">H16-F16</f>
        <v>-45006</v>
      </c>
      <c r="J16" s="141"/>
      <c r="K16" s="128"/>
      <c r="L16" s="143"/>
      <c r="M16" s="143" t="n">
        <v>600000000</v>
      </c>
      <c r="N16" s="135" t="s">
        <v>107</v>
      </c>
      <c r="O16" s="135" t="s">
        <v>33</v>
      </c>
      <c r="P16" s="135"/>
      <c r="Q16" s="140"/>
      <c r="R16" s="137" t="s">
        <v>35</v>
      </c>
      <c r="S16" s="144"/>
      <c r="T16" s="135" t="e">
        <f aca="false">DATEDIF(F16,S16,"d")</f>
        <v>#VALUE!</v>
      </c>
    </row>
    <row r="17" s="148" customFormat="true" ht="15" hidden="false" customHeight="false" outlineLevel="0" collapsed="false">
      <c r="A17" s="135"/>
      <c r="B17" s="137"/>
      <c r="C17" s="137"/>
      <c r="D17" s="153"/>
      <c r="E17" s="135"/>
      <c r="F17" s="139"/>
      <c r="G17" s="140"/>
      <c r="H17" s="139"/>
      <c r="I17" s="135"/>
      <c r="J17" s="145" t="s">
        <v>115</v>
      </c>
      <c r="K17" s="146"/>
      <c r="L17" s="147"/>
      <c r="M17" s="147" t="n">
        <v>180000000000</v>
      </c>
      <c r="N17" s="135"/>
      <c r="O17" s="135"/>
      <c r="P17" s="135"/>
      <c r="Q17" s="140"/>
      <c r="R17" s="137"/>
      <c r="S17" s="144"/>
      <c r="T17" s="135"/>
    </row>
    <row r="18" customFormat="false" ht="15" hidden="false" customHeight="true" outlineLevel="0" collapsed="false">
      <c r="A18" s="135" t="n">
        <v>9</v>
      </c>
      <c r="B18" s="137" t="s">
        <v>101</v>
      </c>
      <c r="C18" s="137" t="s">
        <v>106</v>
      </c>
      <c r="D18" s="153" t="n">
        <v>675058</v>
      </c>
      <c r="E18" s="135" t="s">
        <v>27</v>
      </c>
      <c r="F18" s="139" t="n">
        <v>45006</v>
      </c>
      <c r="G18" s="140"/>
      <c r="H18" s="139"/>
      <c r="I18" s="135" t="n">
        <f aca="false">H18-F18</f>
        <v>-45006</v>
      </c>
      <c r="J18" s="141"/>
      <c r="K18" s="128"/>
      <c r="L18" s="143"/>
      <c r="M18" s="143" t="n">
        <v>600000000</v>
      </c>
      <c r="N18" s="135" t="s">
        <v>107</v>
      </c>
      <c r="O18" s="135" t="s">
        <v>33</v>
      </c>
      <c r="P18" s="135"/>
      <c r="Q18" s="140"/>
      <c r="R18" s="137" t="s">
        <v>35</v>
      </c>
      <c r="S18" s="144"/>
      <c r="T18" s="135" t="e">
        <f aca="false">DATEDIF(F18,S18,"d")</f>
        <v>#VALUE!</v>
      </c>
    </row>
    <row r="19" s="148" customFormat="true" ht="15" hidden="false" customHeight="false" outlineLevel="0" collapsed="false">
      <c r="A19" s="135"/>
      <c r="B19" s="137"/>
      <c r="C19" s="137"/>
      <c r="D19" s="153"/>
      <c r="E19" s="135"/>
      <c r="F19" s="139"/>
      <c r="G19" s="140"/>
      <c r="H19" s="139"/>
      <c r="I19" s="135"/>
      <c r="J19" s="145" t="s">
        <v>115</v>
      </c>
      <c r="K19" s="146"/>
      <c r="L19" s="147"/>
      <c r="M19" s="147" t="n">
        <v>180000000000</v>
      </c>
      <c r="N19" s="135"/>
      <c r="O19" s="135"/>
      <c r="P19" s="135"/>
      <c r="Q19" s="140"/>
      <c r="R19" s="137"/>
      <c r="S19" s="144"/>
      <c r="T19" s="135"/>
    </row>
    <row r="20" customFormat="false" ht="15" hidden="false" customHeight="true" outlineLevel="0" collapsed="false">
      <c r="A20" s="135" t="n">
        <v>10</v>
      </c>
      <c r="B20" s="137" t="s">
        <v>101</v>
      </c>
      <c r="C20" s="137" t="s">
        <v>106</v>
      </c>
      <c r="D20" s="138" t="n">
        <v>675059</v>
      </c>
      <c r="E20" s="135" t="s">
        <v>27</v>
      </c>
      <c r="F20" s="139" t="n">
        <v>45006</v>
      </c>
      <c r="G20" s="140"/>
      <c r="H20" s="139"/>
      <c r="I20" s="135" t="n">
        <f aca="false">H20-F20</f>
        <v>-45006</v>
      </c>
      <c r="J20" s="141"/>
      <c r="K20" s="128"/>
      <c r="L20" s="143"/>
      <c r="M20" s="143" t="n">
        <v>100000000</v>
      </c>
      <c r="N20" s="135" t="s">
        <v>107</v>
      </c>
      <c r="O20" s="135" t="s">
        <v>33</v>
      </c>
      <c r="P20" s="135"/>
      <c r="Q20" s="140"/>
      <c r="R20" s="137" t="s">
        <v>35</v>
      </c>
      <c r="S20" s="144"/>
      <c r="T20" s="135" t="e">
        <f aca="false">DATEDIF(F20,S20,"d")</f>
        <v>#VALUE!</v>
      </c>
    </row>
    <row r="21" s="148" customFormat="true" ht="15" hidden="false" customHeight="false" outlineLevel="0" collapsed="false">
      <c r="A21" s="135"/>
      <c r="B21" s="137"/>
      <c r="C21" s="137"/>
      <c r="D21" s="138"/>
      <c r="E21" s="135"/>
      <c r="F21" s="139"/>
      <c r="G21" s="140"/>
      <c r="H21" s="139"/>
      <c r="I21" s="135"/>
      <c r="J21" s="145" t="s">
        <v>116</v>
      </c>
      <c r="K21" s="146"/>
      <c r="L21" s="147"/>
      <c r="M21" s="147" t="n">
        <v>180000000000</v>
      </c>
      <c r="N21" s="135"/>
      <c r="O21" s="135"/>
      <c r="P21" s="135"/>
      <c r="Q21" s="140"/>
      <c r="R21" s="137"/>
      <c r="S21" s="144"/>
      <c r="T21" s="135"/>
    </row>
    <row r="22" customFormat="false" ht="15" hidden="false" customHeight="true" outlineLevel="0" collapsed="false">
      <c r="A22" s="135" t="n">
        <v>11</v>
      </c>
      <c r="B22" s="137" t="s">
        <v>101</v>
      </c>
      <c r="C22" s="137" t="s">
        <v>106</v>
      </c>
      <c r="D22" s="138" t="n">
        <v>675060</v>
      </c>
      <c r="E22" s="135" t="s">
        <v>27</v>
      </c>
      <c r="F22" s="139" t="n">
        <v>45006</v>
      </c>
      <c r="G22" s="140"/>
      <c r="H22" s="139"/>
      <c r="I22" s="135" t="n">
        <f aca="false">H22-F22</f>
        <v>-45006</v>
      </c>
      <c r="J22" s="141"/>
      <c r="K22" s="128"/>
      <c r="L22" s="143"/>
      <c r="M22" s="143" t="n">
        <v>100000000</v>
      </c>
      <c r="N22" s="135" t="s">
        <v>107</v>
      </c>
      <c r="O22" s="135" t="s">
        <v>33</v>
      </c>
      <c r="P22" s="135"/>
      <c r="Q22" s="140"/>
      <c r="R22" s="137" t="s">
        <v>35</v>
      </c>
      <c r="S22" s="144"/>
      <c r="T22" s="135" t="e">
        <f aca="false">DATEDIF(F22,S22,"d")</f>
        <v>#VALUE!</v>
      </c>
    </row>
    <row r="23" s="148" customFormat="true" ht="15" hidden="false" customHeight="false" outlineLevel="0" collapsed="false">
      <c r="A23" s="135"/>
      <c r="B23" s="137"/>
      <c r="C23" s="137"/>
      <c r="D23" s="138" t="n">
        <v>675061</v>
      </c>
      <c r="E23" s="135"/>
      <c r="F23" s="139"/>
      <c r="G23" s="140"/>
      <c r="H23" s="139"/>
      <c r="I23" s="135"/>
      <c r="J23" s="145" t="s">
        <v>116</v>
      </c>
      <c r="K23" s="146"/>
      <c r="L23" s="147"/>
      <c r="M23" s="147" t="n">
        <v>180000000000</v>
      </c>
      <c r="N23" s="135"/>
      <c r="O23" s="135"/>
      <c r="P23" s="135"/>
      <c r="Q23" s="140"/>
      <c r="R23" s="137"/>
      <c r="S23" s="144"/>
      <c r="T23" s="135"/>
    </row>
    <row r="24" customFormat="false" ht="15" hidden="false" customHeight="true" outlineLevel="0" collapsed="false">
      <c r="A24" s="135" t="n">
        <v>12</v>
      </c>
      <c r="B24" s="137" t="s">
        <v>101</v>
      </c>
      <c r="C24" s="137" t="s">
        <v>106</v>
      </c>
      <c r="D24" s="138" t="n">
        <v>675061</v>
      </c>
      <c r="E24" s="135" t="s">
        <v>27</v>
      </c>
      <c r="F24" s="139" t="n">
        <v>45006</v>
      </c>
      <c r="G24" s="140"/>
      <c r="H24" s="139"/>
      <c r="I24" s="135" t="n">
        <f aca="false">H24-F24</f>
        <v>-45006</v>
      </c>
      <c r="J24" s="141"/>
      <c r="K24" s="128"/>
      <c r="L24" s="143"/>
      <c r="M24" s="143" t="n">
        <v>100000000</v>
      </c>
      <c r="N24" s="135" t="s">
        <v>107</v>
      </c>
      <c r="O24" s="135" t="s">
        <v>33</v>
      </c>
      <c r="P24" s="135"/>
      <c r="Q24" s="140"/>
      <c r="R24" s="137" t="s">
        <v>35</v>
      </c>
      <c r="S24" s="144"/>
      <c r="T24" s="135" t="e">
        <f aca="false">DATEDIF(F24,S24,"d")</f>
        <v>#VALUE!</v>
      </c>
    </row>
    <row r="25" s="148" customFormat="true" ht="15" hidden="false" customHeight="false" outlineLevel="0" collapsed="false">
      <c r="A25" s="135"/>
      <c r="B25" s="137"/>
      <c r="C25" s="137"/>
      <c r="D25" s="138" t="n">
        <v>675061</v>
      </c>
      <c r="E25" s="135"/>
      <c r="F25" s="139"/>
      <c r="G25" s="140"/>
      <c r="H25" s="139"/>
      <c r="I25" s="135"/>
      <c r="J25" s="145" t="s">
        <v>116</v>
      </c>
      <c r="K25" s="146"/>
      <c r="L25" s="147"/>
      <c r="M25" s="147" t="n">
        <v>180000000000</v>
      </c>
      <c r="N25" s="135"/>
      <c r="O25" s="135"/>
      <c r="P25" s="135"/>
      <c r="Q25" s="140"/>
      <c r="R25" s="137"/>
      <c r="S25" s="144"/>
      <c r="T25" s="135"/>
    </row>
  </sheetData>
  <mergeCells count="199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2:N3"/>
    <mergeCell ref="O2:O3"/>
    <mergeCell ref="P2:P3"/>
    <mergeCell ref="Q2:Q3"/>
    <mergeCell ref="R2:R3"/>
    <mergeCell ref="S2:S3"/>
    <mergeCell ref="T2:T3"/>
    <mergeCell ref="U2:U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N4:N5"/>
    <mergeCell ref="O4:O5"/>
    <mergeCell ref="P4:P5"/>
    <mergeCell ref="Q4:Q5"/>
    <mergeCell ref="R4:R5"/>
    <mergeCell ref="S4:S5"/>
    <mergeCell ref="T4:T5"/>
    <mergeCell ref="U4:U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N6:N7"/>
    <mergeCell ref="O6:O7"/>
    <mergeCell ref="P6:P7"/>
    <mergeCell ref="Q6:Q7"/>
    <mergeCell ref="R6:R7"/>
    <mergeCell ref="S6:S7"/>
    <mergeCell ref="T6:T7"/>
    <mergeCell ref="U6:U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N8:N9"/>
    <mergeCell ref="O8:O9"/>
    <mergeCell ref="P8:P9"/>
    <mergeCell ref="Q8:Q9"/>
    <mergeCell ref="R8:R9"/>
    <mergeCell ref="S8:S9"/>
    <mergeCell ref="T8:T9"/>
    <mergeCell ref="U8:U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N10:N11"/>
    <mergeCell ref="O10:O11"/>
    <mergeCell ref="P10:P11"/>
    <mergeCell ref="Q10:Q11"/>
    <mergeCell ref="R10:R11"/>
    <mergeCell ref="S10:S11"/>
    <mergeCell ref="T10:T11"/>
    <mergeCell ref="V10:V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N12:N13"/>
    <mergeCell ref="O12:O13"/>
    <mergeCell ref="P12:P13"/>
    <mergeCell ref="Q12:Q13"/>
    <mergeCell ref="R12:R13"/>
    <mergeCell ref="S12:S13"/>
    <mergeCell ref="T12:T13"/>
    <mergeCell ref="V12:V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N14:N15"/>
    <mergeCell ref="O14:O15"/>
    <mergeCell ref="P14:P15"/>
    <mergeCell ref="Q14:Q15"/>
    <mergeCell ref="R14:R15"/>
    <mergeCell ref="S14:S15"/>
    <mergeCell ref="T14:T15"/>
    <mergeCell ref="V14:V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N16:N17"/>
    <mergeCell ref="O16:O17"/>
    <mergeCell ref="P16:P17"/>
    <mergeCell ref="Q16:Q17"/>
    <mergeCell ref="R16:R17"/>
    <mergeCell ref="S16:S17"/>
    <mergeCell ref="T16:T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N18:N19"/>
    <mergeCell ref="O18:O19"/>
    <mergeCell ref="P18:P19"/>
    <mergeCell ref="Q18:Q19"/>
    <mergeCell ref="R18:R19"/>
    <mergeCell ref="S18:S19"/>
    <mergeCell ref="T18:T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N20:N21"/>
    <mergeCell ref="O20:O21"/>
    <mergeCell ref="P20:P21"/>
    <mergeCell ref="Q20:Q21"/>
    <mergeCell ref="R20:R21"/>
    <mergeCell ref="S20:S21"/>
    <mergeCell ref="T20:T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N22:N23"/>
    <mergeCell ref="O22:O23"/>
    <mergeCell ref="P22:P23"/>
    <mergeCell ref="Q22:Q23"/>
    <mergeCell ref="R22:R23"/>
    <mergeCell ref="S22:S23"/>
    <mergeCell ref="T22:T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N24:N25"/>
    <mergeCell ref="O24:O25"/>
    <mergeCell ref="P24:P25"/>
    <mergeCell ref="Q24:Q25"/>
    <mergeCell ref="R24:R25"/>
    <mergeCell ref="S24:S25"/>
    <mergeCell ref="T24:T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2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P14" activeCellId="0" sqref="P1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8.29"/>
    <col collapsed="false" customWidth="true" hidden="false" outlineLevel="0" max="3" min="3" style="128" width="16.71"/>
    <col collapsed="false" customWidth="true" hidden="false" outlineLevel="0" max="5" min="5" style="0" width="10.71"/>
    <col collapsed="false" customWidth="true" hidden="false" outlineLevel="0" max="6" min="6" style="0" width="13.7"/>
    <col collapsed="false" customWidth="true" hidden="false" outlineLevel="0" max="7" min="7" style="0" width="11.57"/>
    <col collapsed="false" customWidth="true" hidden="false" outlineLevel="0" max="8" min="8" style="0" width="12.29"/>
    <col collapsed="false" customWidth="true" hidden="false" outlineLevel="0" max="9" min="9" style="0" width="16.57"/>
    <col collapsed="false" customWidth="true" hidden="false" outlineLevel="0" max="10" min="10" style="0" width="24.57"/>
    <col collapsed="false" customWidth="true" hidden="false" outlineLevel="0" max="11" min="11" style="0" width="10.99"/>
    <col collapsed="false" customWidth="true" hidden="false" outlineLevel="0" max="12" min="12" style="0" width="12.57"/>
    <col collapsed="false" customWidth="true" hidden="false" outlineLevel="0" max="13" min="13" style="0" width="12.71"/>
    <col collapsed="false" customWidth="true" hidden="false" outlineLevel="0" max="14" min="14" style="0" width="14.57"/>
    <col collapsed="false" customWidth="true" hidden="false" outlineLevel="0" max="15" min="15" style="0" width="12.29"/>
    <col collapsed="false" customWidth="true" hidden="false" outlineLevel="0" max="16" min="16" style="0" width="13.7"/>
    <col collapsed="false" customWidth="true" hidden="false" outlineLevel="0" max="17" min="17" style="0" width="16.71"/>
    <col collapsed="false" customWidth="true" hidden="false" outlineLevel="0" max="18" min="18" style="0" width="18"/>
    <col collapsed="false" customWidth="true" hidden="false" outlineLevel="0" max="19" min="19" style="0" width="21.71"/>
    <col collapsed="false" customWidth="true" hidden="false" outlineLevel="0" max="20" min="20" style="0" width="23.42"/>
    <col collapsed="false" customWidth="true" hidden="false" outlineLevel="0" max="21" min="21" style="0" width="18.58"/>
    <col collapsed="false" customWidth="true" hidden="false" outlineLevel="0" max="22" min="22" style="0" width="45.14"/>
  </cols>
  <sheetData>
    <row r="1" customFormat="false" ht="31.5" hidden="false" customHeight="true" outlineLevel="0" collapsed="false">
      <c r="B1" s="12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30" t="s">
        <v>6</v>
      </c>
      <c r="H1" s="131" t="s">
        <v>7</v>
      </c>
      <c r="I1" s="129" t="s">
        <v>103</v>
      </c>
      <c r="J1" s="129" t="s">
        <v>11</v>
      </c>
      <c r="K1" s="129" t="s">
        <v>12</v>
      </c>
      <c r="L1" s="129" t="s">
        <v>13</v>
      </c>
      <c r="M1" s="129" t="s">
        <v>14</v>
      </c>
      <c r="N1" s="131" t="s">
        <v>15</v>
      </c>
      <c r="O1" s="132" t="s">
        <v>16</v>
      </c>
      <c r="P1" s="133" t="s">
        <v>104</v>
      </c>
      <c r="Q1" s="131" t="s">
        <v>18</v>
      </c>
      <c r="R1" s="134" t="s">
        <v>19</v>
      </c>
      <c r="S1" s="129" t="s">
        <v>20</v>
      </c>
      <c r="T1" s="131" t="s">
        <v>21</v>
      </c>
      <c r="U1" s="129" t="s">
        <v>104</v>
      </c>
      <c r="V1" s="129" t="s">
        <v>117</v>
      </c>
    </row>
    <row r="2" customFormat="false" ht="24.75" hidden="false" customHeight="true" outlineLevel="0" collapsed="false">
      <c r="A2" s="135" t="n">
        <v>1</v>
      </c>
      <c r="B2" s="136" t="s">
        <v>97</v>
      </c>
      <c r="C2" s="135" t="s">
        <v>118</v>
      </c>
      <c r="D2" s="149" t="n">
        <v>664760</v>
      </c>
      <c r="E2" s="135" t="s">
        <v>27</v>
      </c>
      <c r="F2" s="139" t="n">
        <v>44935</v>
      </c>
      <c r="G2" s="140" t="s">
        <v>28</v>
      </c>
      <c r="H2" s="154" t="n">
        <v>44967</v>
      </c>
      <c r="I2" s="135" t="n">
        <f aca="false">H2-F2</f>
        <v>32</v>
      </c>
      <c r="J2" s="150" t="s">
        <v>30</v>
      </c>
      <c r="K2" s="155" t="s">
        <v>31</v>
      </c>
      <c r="L2" s="142" t="n">
        <v>41300000000000</v>
      </c>
      <c r="M2" s="143" t="n">
        <v>600000000</v>
      </c>
      <c r="N2" s="135" t="s">
        <v>107</v>
      </c>
      <c r="O2" s="135" t="s">
        <v>33</v>
      </c>
      <c r="P2" s="135" t="s">
        <v>119</v>
      </c>
      <c r="Q2" s="140" t="s">
        <v>28</v>
      </c>
      <c r="R2" s="137" t="s">
        <v>35</v>
      </c>
      <c r="S2" s="154" t="n">
        <v>45005</v>
      </c>
      <c r="T2" s="135" t="n">
        <f aca="false">DATEDIF(F2,S2,"d")</f>
        <v>70</v>
      </c>
      <c r="U2" s="135" t="s">
        <v>36</v>
      </c>
      <c r="V2" s="135"/>
    </row>
    <row r="3" s="148" customFormat="true" ht="15" hidden="false" customHeight="false" outlineLevel="0" collapsed="false">
      <c r="A3" s="135"/>
      <c r="B3" s="136"/>
      <c r="C3" s="135"/>
      <c r="D3" s="149"/>
      <c r="E3" s="135"/>
      <c r="F3" s="139"/>
      <c r="G3" s="140"/>
      <c r="H3" s="154"/>
      <c r="I3" s="135"/>
      <c r="J3" s="145" t="s">
        <v>39</v>
      </c>
      <c r="K3" s="146" t="s">
        <v>40</v>
      </c>
      <c r="L3" s="147" t="n">
        <v>43800000000000</v>
      </c>
      <c r="M3" s="147" t="n">
        <v>180000000000</v>
      </c>
      <c r="N3" s="135"/>
      <c r="O3" s="135"/>
      <c r="P3" s="135"/>
      <c r="Q3" s="140"/>
      <c r="R3" s="137"/>
      <c r="S3" s="154"/>
      <c r="T3" s="135"/>
      <c r="U3" s="135"/>
      <c r="V3" s="135"/>
    </row>
    <row r="4" customFormat="false" ht="24.75" hidden="false" customHeight="true" outlineLevel="0" collapsed="false">
      <c r="A4" s="135" t="n">
        <v>2</v>
      </c>
      <c r="B4" s="136" t="s">
        <v>97</v>
      </c>
      <c r="C4" s="135" t="s">
        <v>118</v>
      </c>
      <c r="D4" s="149" t="n">
        <v>664761</v>
      </c>
      <c r="E4" s="135" t="s">
        <v>27</v>
      </c>
      <c r="F4" s="139" t="n">
        <v>44935</v>
      </c>
      <c r="G4" s="140" t="s">
        <v>28</v>
      </c>
      <c r="H4" s="154" t="n">
        <v>44967</v>
      </c>
      <c r="I4" s="135" t="n">
        <f aca="false">H4-F4</f>
        <v>32</v>
      </c>
      <c r="J4" s="150" t="s">
        <v>30</v>
      </c>
      <c r="K4" s="155" t="s">
        <v>31</v>
      </c>
      <c r="L4" s="142" t="n">
        <v>41300000000000</v>
      </c>
      <c r="M4" s="143" t="n">
        <v>600000000</v>
      </c>
      <c r="N4" s="135" t="s">
        <v>107</v>
      </c>
      <c r="O4" s="135" t="s">
        <v>33</v>
      </c>
      <c r="P4" s="135" t="s">
        <v>119</v>
      </c>
      <c r="Q4" s="140" t="s">
        <v>28</v>
      </c>
      <c r="R4" s="137" t="s">
        <v>35</v>
      </c>
      <c r="S4" s="154" t="n">
        <v>45005</v>
      </c>
      <c r="T4" s="135" t="n">
        <f aca="false">DATEDIF(F4,S4,"d")</f>
        <v>70</v>
      </c>
      <c r="U4" s="135" t="s">
        <v>36</v>
      </c>
      <c r="V4" s="135" t="s">
        <v>120</v>
      </c>
    </row>
    <row r="5" s="148" customFormat="true" ht="15" hidden="false" customHeight="false" outlineLevel="0" collapsed="false">
      <c r="A5" s="135"/>
      <c r="B5" s="136"/>
      <c r="C5" s="135"/>
      <c r="D5" s="149"/>
      <c r="E5" s="135"/>
      <c r="F5" s="139"/>
      <c r="G5" s="140"/>
      <c r="H5" s="154"/>
      <c r="I5" s="135"/>
      <c r="J5" s="145" t="s">
        <v>39</v>
      </c>
      <c r="K5" s="146" t="s">
        <v>40</v>
      </c>
      <c r="L5" s="147" t="n">
        <v>43800000000000</v>
      </c>
      <c r="M5" s="147" t="n">
        <v>180000000000</v>
      </c>
      <c r="N5" s="135"/>
      <c r="O5" s="135"/>
      <c r="P5" s="135"/>
      <c r="Q5" s="140"/>
      <c r="R5" s="137"/>
      <c r="S5" s="154"/>
      <c r="T5" s="135"/>
      <c r="U5" s="135"/>
      <c r="V5" s="135"/>
    </row>
    <row r="6" customFormat="false" ht="24.75" hidden="false" customHeight="true" outlineLevel="0" collapsed="false">
      <c r="A6" s="135" t="n">
        <v>3</v>
      </c>
      <c r="B6" s="136" t="s">
        <v>97</v>
      </c>
      <c r="C6" s="135" t="s">
        <v>118</v>
      </c>
      <c r="D6" s="149" t="n">
        <v>664762</v>
      </c>
      <c r="E6" s="135" t="s">
        <v>27</v>
      </c>
      <c r="F6" s="139" t="n">
        <v>44935</v>
      </c>
      <c r="G6" s="140" t="s">
        <v>28</v>
      </c>
      <c r="H6" s="154" t="n">
        <v>44967</v>
      </c>
      <c r="I6" s="135" t="n">
        <f aca="false">H6-F6</f>
        <v>32</v>
      </c>
      <c r="J6" s="150" t="s">
        <v>30</v>
      </c>
      <c r="K6" s="155" t="s">
        <v>31</v>
      </c>
      <c r="L6" s="142" t="n">
        <v>41300000000000</v>
      </c>
      <c r="M6" s="143" t="n">
        <v>600000000</v>
      </c>
      <c r="N6" s="135" t="s">
        <v>107</v>
      </c>
      <c r="O6" s="135" t="s">
        <v>33</v>
      </c>
      <c r="P6" s="135" t="s">
        <v>119</v>
      </c>
      <c r="Q6" s="140" t="s">
        <v>28</v>
      </c>
      <c r="R6" s="137" t="s">
        <v>35</v>
      </c>
      <c r="S6" s="154" t="n">
        <v>45005</v>
      </c>
      <c r="T6" s="135" t="n">
        <f aca="false">DATEDIF(F6,S6,"d")</f>
        <v>70</v>
      </c>
      <c r="U6" s="135" t="s">
        <v>36</v>
      </c>
      <c r="V6" s="137"/>
    </row>
    <row r="7" s="148" customFormat="true" ht="15" hidden="false" customHeight="false" outlineLevel="0" collapsed="false">
      <c r="A7" s="135"/>
      <c r="B7" s="136"/>
      <c r="C7" s="135"/>
      <c r="D7" s="149"/>
      <c r="E7" s="135"/>
      <c r="F7" s="139"/>
      <c r="G7" s="140"/>
      <c r="H7" s="154"/>
      <c r="I7" s="135"/>
      <c r="J7" s="145" t="s">
        <v>39</v>
      </c>
      <c r="K7" s="146" t="s">
        <v>40</v>
      </c>
      <c r="L7" s="147" t="n">
        <v>43800000000000</v>
      </c>
      <c r="M7" s="147" t="n">
        <v>180000000000</v>
      </c>
      <c r="N7" s="135"/>
      <c r="O7" s="135"/>
      <c r="P7" s="135"/>
      <c r="Q7" s="140"/>
      <c r="R7" s="137"/>
      <c r="S7" s="154"/>
      <c r="T7" s="135"/>
      <c r="U7" s="135"/>
      <c r="V7" s="137"/>
    </row>
    <row r="8" customFormat="false" ht="24.75" hidden="false" customHeight="true" outlineLevel="0" collapsed="false">
      <c r="A8" s="135" t="n">
        <v>4</v>
      </c>
      <c r="B8" s="136" t="s">
        <v>97</v>
      </c>
      <c r="C8" s="135" t="s">
        <v>118</v>
      </c>
      <c r="D8" s="138" t="n">
        <v>665465</v>
      </c>
      <c r="E8" s="135" t="s">
        <v>27</v>
      </c>
      <c r="F8" s="139" t="n">
        <v>44938</v>
      </c>
      <c r="G8" s="140" t="s">
        <v>28</v>
      </c>
      <c r="H8" s="154" t="n">
        <v>44973</v>
      </c>
      <c r="I8" s="135" t="n">
        <f aca="false">H8-F8</f>
        <v>35</v>
      </c>
      <c r="J8" s="141" t="s">
        <v>30</v>
      </c>
      <c r="K8" s="155" t="s">
        <v>31</v>
      </c>
      <c r="L8" s="142" t="n">
        <v>41300000000000</v>
      </c>
      <c r="M8" s="143" t="n">
        <v>600000000</v>
      </c>
      <c r="N8" s="135" t="s">
        <v>107</v>
      </c>
      <c r="O8" s="135" t="s">
        <v>33</v>
      </c>
      <c r="P8" s="135" t="s">
        <v>34</v>
      </c>
      <c r="Q8" s="140" t="s">
        <v>28</v>
      </c>
      <c r="R8" s="137" t="s">
        <v>35</v>
      </c>
      <c r="S8" s="154" t="n">
        <v>45008</v>
      </c>
      <c r="T8" s="135" t="n">
        <f aca="false">DATEDIF(F8,S8,"d")</f>
        <v>70</v>
      </c>
      <c r="U8" s="135" t="s">
        <v>36</v>
      </c>
      <c r="V8" s="137"/>
    </row>
    <row r="9" s="148" customFormat="true" ht="15" hidden="false" customHeight="false" outlineLevel="0" collapsed="false">
      <c r="A9" s="135"/>
      <c r="B9" s="136"/>
      <c r="C9" s="135"/>
      <c r="D9" s="138"/>
      <c r="E9" s="135"/>
      <c r="F9" s="139"/>
      <c r="G9" s="140"/>
      <c r="H9" s="154"/>
      <c r="I9" s="135"/>
      <c r="J9" s="145" t="s">
        <v>48</v>
      </c>
      <c r="K9" s="146" t="s">
        <v>110</v>
      </c>
      <c r="L9" s="147" t="n">
        <v>30700000000000</v>
      </c>
      <c r="M9" s="147" t="n">
        <v>180000000000</v>
      </c>
      <c r="N9" s="135"/>
      <c r="O9" s="135"/>
      <c r="P9" s="135"/>
      <c r="Q9" s="140"/>
      <c r="R9" s="137"/>
      <c r="S9" s="154" t="n">
        <v>45008</v>
      </c>
      <c r="T9" s="135"/>
      <c r="U9" s="135"/>
      <c r="V9" s="137"/>
    </row>
    <row r="10" customFormat="false" ht="24.75" hidden="false" customHeight="true" outlineLevel="0" collapsed="false">
      <c r="A10" s="135" t="n">
        <v>5</v>
      </c>
      <c r="B10" s="136" t="s">
        <v>97</v>
      </c>
      <c r="C10" s="135" t="s">
        <v>118</v>
      </c>
      <c r="D10" s="138" t="n">
        <v>665467</v>
      </c>
      <c r="E10" s="135" t="s">
        <v>27</v>
      </c>
      <c r="F10" s="139" t="n">
        <v>44938</v>
      </c>
      <c r="G10" s="140" t="s">
        <v>28</v>
      </c>
      <c r="H10" s="154" t="n">
        <v>44973</v>
      </c>
      <c r="I10" s="135" t="n">
        <f aca="false">H10-F10</f>
        <v>35</v>
      </c>
      <c r="J10" s="141" t="s">
        <v>30</v>
      </c>
      <c r="K10" s="155" t="s">
        <v>31</v>
      </c>
      <c r="L10" s="142" t="n">
        <v>41300000000000</v>
      </c>
      <c r="M10" s="143" t="n">
        <v>600000000</v>
      </c>
      <c r="N10" s="135" t="s">
        <v>107</v>
      </c>
      <c r="O10" s="135" t="s">
        <v>33</v>
      </c>
      <c r="P10" s="135" t="s">
        <v>34</v>
      </c>
      <c r="Q10" s="140" t="s">
        <v>28</v>
      </c>
      <c r="R10" s="137" t="s">
        <v>35</v>
      </c>
      <c r="S10" s="154" t="n">
        <v>45008</v>
      </c>
      <c r="T10" s="135" t="n">
        <f aca="false">DATEDIF(F10,S10,"d")</f>
        <v>70</v>
      </c>
      <c r="U10" s="135" t="s">
        <v>121</v>
      </c>
      <c r="V10" s="137"/>
    </row>
    <row r="11" s="148" customFormat="true" ht="15" hidden="false" customHeight="false" outlineLevel="0" collapsed="false">
      <c r="A11" s="135"/>
      <c r="B11" s="136"/>
      <c r="C11" s="135"/>
      <c r="D11" s="138"/>
      <c r="E11" s="135"/>
      <c r="F11" s="139"/>
      <c r="G11" s="140"/>
      <c r="H11" s="154"/>
      <c r="I11" s="135"/>
      <c r="J11" s="145" t="s">
        <v>48</v>
      </c>
      <c r="K11" s="146" t="s">
        <v>110</v>
      </c>
      <c r="L11" s="147" t="n">
        <v>30700000000000</v>
      </c>
      <c r="M11" s="147" t="n">
        <v>180000000000</v>
      </c>
      <c r="N11" s="135"/>
      <c r="O11" s="135"/>
      <c r="P11" s="135"/>
      <c r="Q11" s="140"/>
      <c r="R11" s="137"/>
      <c r="S11" s="154" t="n">
        <v>45008</v>
      </c>
      <c r="T11" s="135"/>
      <c r="U11" s="135"/>
      <c r="V11" s="137"/>
    </row>
    <row r="12" customFormat="false" ht="24.75" hidden="false" customHeight="true" outlineLevel="0" collapsed="false">
      <c r="A12" s="135" t="n">
        <v>6</v>
      </c>
      <c r="B12" s="136" t="s">
        <v>97</v>
      </c>
      <c r="C12" s="135" t="s">
        <v>118</v>
      </c>
      <c r="D12" s="138" t="n">
        <v>665469</v>
      </c>
      <c r="E12" s="135" t="s">
        <v>45</v>
      </c>
      <c r="F12" s="139" t="n">
        <v>44938</v>
      </c>
      <c r="G12" s="140" t="s">
        <v>28</v>
      </c>
      <c r="H12" s="154" t="n">
        <v>44973</v>
      </c>
      <c r="I12" s="135" t="n">
        <f aca="false">H12-F12</f>
        <v>35</v>
      </c>
      <c r="J12" s="141" t="s">
        <v>30</v>
      </c>
      <c r="K12" s="155" t="s">
        <v>31</v>
      </c>
      <c r="L12" s="142" t="n">
        <v>41300000000000</v>
      </c>
      <c r="M12" s="143" t="n">
        <v>600000000</v>
      </c>
      <c r="N12" s="135" t="s">
        <v>107</v>
      </c>
      <c r="O12" s="135" t="s">
        <v>33</v>
      </c>
      <c r="P12" s="156" t="s">
        <v>122</v>
      </c>
      <c r="Q12" s="140" t="s">
        <v>28</v>
      </c>
      <c r="R12" s="137" t="s">
        <v>35</v>
      </c>
      <c r="S12" s="154" t="n">
        <v>45008</v>
      </c>
      <c r="T12" s="135" t="n">
        <f aca="false">DATEDIF(F12,S12,"d")</f>
        <v>70</v>
      </c>
      <c r="U12" s="137" t="s">
        <v>123</v>
      </c>
      <c r="V12" s="137"/>
    </row>
    <row r="13" s="148" customFormat="true" ht="15" hidden="false" customHeight="false" outlineLevel="0" collapsed="false">
      <c r="A13" s="135"/>
      <c r="B13" s="136"/>
      <c r="C13" s="135"/>
      <c r="D13" s="138"/>
      <c r="E13" s="135"/>
      <c r="F13" s="139"/>
      <c r="G13" s="140"/>
      <c r="H13" s="154"/>
      <c r="I13" s="135"/>
      <c r="J13" s="145" t="s">
        <v>48</v>
      </c>
      <c r="K13" s="146" t="s">
        <v>110</v>
      </c>
      <c r="L13" s="147" t="n">
        <v>30700000000000</v>
      </c>
      <c r="M13" s="147" t="n">
        <v>180000000000</v>
      </c>
      <c r="N13" s="135"/>
      <c r="O13" s="135"/>
      <c r="P13" s="156"/>
      <c r="Q13" s="140"/>
      <c r="R13" s="137"/>
      <c r="S13" s="154" t="n">
        <v>45008</v>
      </c>
      <c r="T13" s="135"/>
      <c r="U13" s="137"/>
      <c r="V13" s="137"/>
    </row>
    <row r="14" customFormat="false" ht="24.75" hidden="false" customHeight="true" outlineLevel="0" collapsed="false">
      <c r="A14" s="135" t="n">
        <v>7</v>
      </c>
      <c r="B14" s="136" t="s">
        <v>97</v>
      </c>
      <c r="C14" s="135" t="s">
        <v>118</v>
      </c>
      <c r="D14" s="149" t="n">
        <v>665470</v>
      </c>
      <c r="E14" s="135" t="s">
        <v>45</v>
      </c>
      <c r="F14" s="139" t="n">
        <v>44938</v>
      </c>
      <c r="G14" s="140" t="s">
        <v>28</v>
      </c>
      <c r="H14" s="154" t="n">
        <v>44977</v>
      </c>
      <c r="I14" s="135" t="n">
        <f aca="false">H14-F14</f>
        <v>39</v>
      </c>
      <c r="J14" s="150" t="s">
        <v>30</v>
      </c>
      <c r="K14" s="155" t="s">
        <v>31</v>
      </c>
      <c r="L14" s="142" t="n">
        <v>41300000000000</v>
      </c>
      <c r="M14" s="143" t="n">
        <v>600000000</v>
      </c>
      <c r="N14" s="135" t="s">
        <v>107</v>
      </c>
      <c r="O14" s="135" t="s">
        <v>33</v>
      </c>
      <c r="P14" s="135" t="s">
        <v>34</v>
      </c>
      <c r="Q14" s="140" t="s">
        <v>28</v>
      </c>
      <c r="R14" s="137" t="s">
        <v>35</v>
      </c>
      <c r="S14" s="154" t="n">
        <v>45008</v>
      </c>
      <c r="T14" s="135" t="n">
        <f aca="false">DATEDIF(F14,S14,"d")</f>
        <v>70</v>
      </c>
      <c r="U14" s="137" t="s">
        <v>36</v>
      </c>
      <c r="V14" s="137"/>
    </row>
    <row r="15" s="148" customFormat="true" ht="15" hidden="false" customHeight="false" outlineLevel="0" collapsed="false">
      <c r="A15" s="135"/>
      <c r="B15" s="136"/>
      <c r="C15" s="135"/>
      <c r="D15" s="149"/>
      <c r="E15" s="135"/>
      <c r="F15" s="139"/>
      <c r="G15" s="140"/>
      <c r="H15" s="154"/>
      <c r="I15" s="135"/>
      <c r="J15" s="145" t="s">
        <v>39</v>
      </c>
      <c r="K15" s="146" t="s">
        <v>40</v>
      </c>
      <c r="L15" s="147" t="n">
        <v>43800000000000</v>
      </c>
      <c r="M15" s="147" t="n">
        <v>180000000000</v>
      </c>
      <c r="N15" s="135"/>
      <c r="O15" s="135"/>
      <c r="P15" s="135"/>
      <c r="Q15" s="140"/>
      <c r="R15" s="137"/>
      <c r="S15" s="154" t="n">
        <v>45008</v>
      </c>
      <c r="T15" s="135"/>
      <c r="U15" s="137"/>
      <c r="V15" s="137"/>
    </row>
    <row r="16" customFormat="false" ht="15" hidden="false" customHeight="true" outlineLevel="0" collapsed="false">
      <c r="A16" s="135" t="n">
        <v>8</v>
      </c>
      <c r="B16" s="135"/>
      <c r="C16" s="135"/>
      <c r="D16" s="135"/>
      <c r="E16" s="135"/>
      <c r="F16" s="139"/>
      <c r="G16" s="140"/>
      <c r="H16" s="139"/>
      <c r="I16" s="135" t="n">
        <f aca="false">H16-F16</f>
        <v>0</v>
      </c>
      <c r="J16" s="141"/>
      <c r="K16" s="128"/>
      <c r="L16" s="143"/>
      <c r="M16" s="143" t="n">
        <v>100000000</v>
      </c>
      <c r="N16" s="135" t="s">
        <v>107</v>
      </c>
      <c r="O16" s="135" t="s">
        <v>33</v>
      </c>
      <c r="P16" s="135"/>
      <c r="Q16" s="140"/>
      <c r="R16" s="137" t="s">
        <v>35</v>
      </c>
      <c r="S16" s="157"/>
      <c r="T16" s="135" t="n">
        <f aca="false">DATEDIF(F16,S16,"d")</f>
        <v>0</v>
      </c>
      <c r="U16" s="137"/>
      <c r="V16" s="137"/>
    </row>
    <row r="17" s="148" customFormat="true" ht="15" hidden="false" customHeight="false" outlineLevel="0" collapsed="false">
      <c r="A17" s="135"/>
      <c r="B17" s="135"/>
      <c r="C17" s="135"/>
      <c r="D17" s="135"/>
      <c r="E17" s="135"/>
      <c r="F17" s="139"/>
      <c r="G17" s="140"/>
      <c r="H17" s="139"/>
      <c r="I17" s="135"/>
      <c r="J17" s="145"/>
      <c r="K17" s="146"/>
      <c r="L17" s="147"/>
      <c r="M17" s="147" t="n">
        <v>180000000000</v>
      </c>
      <c r="N17" s="135"/>
      <c r="O17" s="135"/>
      <c r="P17" s="135"/>
      <c r="Q17" s="140"/>
      <c r="R17" s="137"/>
      <c r="S17" s="157"/>
      <c r="T17" s="135"/>
      <c r="U17" s="137"/>
      <c r="V17" s="137"/>
    </row>
    <row r="18" customFormat="false" ht="15" hidden="false" customHeight="true" outlineLevel="0" collapsed="false">
      <c r="A18" s="135" t="n">
        <v>9</v>
      </c>
      <c r="B18" s="135"/>
      <c r="C18" s="135"/>
      <c r="D18" s="135"/>
      <c r="E18" s="135"/>
      <c r="F18" s="139"/>
      <c r="G18" s="140"/>
      <c r="H18" s="139"/>
      <c r="I18" s="135" t="n">
        <f aca="false">H18-F18</f>
        <v>0</v>
      </c>
      <c r="J18" s="141"/>
      <c r="K18" s="128"/>
      <c r="L18" s="143"/>
      <c r="M18" s="143" t="n">
        <v>100000000</v>
      </c>
      <c r="N18" s="135" t="s">
        <v>107</v>
      </c>
      <c r="O18" s="135" t="s">
        <v>33</v>
      </c>
      <c r="P18" s="135"/>
      <c r="Q18" s="140"/>
      <c r="R18" s="137" t="s">
        <v>35</v>
      </c>
      <c r="S18" s="157"/>
      <c r="T18" s="135" t="n">
        <f aca="false">DATEDIF(F18,S18,"d")</f>
        <v>0</v>
      </c>
      <c r="U18" s="137"/>
      <c r="V18" s="137"/>
    </row>
    <row r="19" s="148" customFormat="true" ht="15" hidden="false" customHeight="false" outlineLevel="0" collapsed="false">
      <c r="A19" s="135"/>
      <c r="B19" s="135"/>
      <c r="C19" s="135"/>
      <c r="D19" s="135"/>
      <c r="E19" s="135"/>
      <c r="F19" s="139"/>
      <c r="G19" s="140"/>
      <c r="H19" s="139"/>
      <c r="I19" s="135"/>
      <c r="J19" s="145"/>
      <c r="K19" s="146"/>
      <c r="L19" s="147"/>
      <c r="M19" s="147" t="n">
        <v>180000000000</v>
      </c>
      <c r="N19" s="135"/>
      <c r="O19" s="135"/>
      <c r="P19" s="135"/>
      <c r="Q19" s="140"/>
      <c r="R19" s="137"/>
      <c r="S19" s="157"/>
      <c r="T19" s="135"/>
      <c r="U19" s="137"/>
      <c r="V19" s="137"/>
    </row>
    <row r="20" customFormat="false" ht="15" hidden="false" customHeight="true" outlineLevel="0" collapsed="false">
      <c r="A20" s="135" t="n">
        <v>10</v>
      </c>
      <c r="B20" s="135"/>
      <c r="C20" s="135"/>
      <c r="D20" s="135"/>
      <c r="E20" s="135"/>
      <c r="F20" s="139"/>
      <c r="G20" s="140"/>
      <c r="H20" s="139"/>
      <c r="I20" s="135" t="n">
        <f aca="false">H20-F20</f>
        <v>0</v>
      </c>
      <c r="J20" s="141"/>
      <c r="K20" s="128"/>
      <c r="L20" s="143"/>
      <c r="M20" s="143" t="n">
        <v>100000000</v>
      </c>
      <c r="N20" s="135" t="s">
        <v>107</v>
      </c>
      <c r="O20" s="135" t="s">
        <v>33</v>
      </c>
      <c r="P20" s="135"/>
      <c r="Q20" s="140"/>
      <c r="R20" s="137" t="s">
        <v>35</v>
      </c>
      <c r="S20" s="157"/>
      <c r="T20" s="135" t="n">
        <f aca="false">DATEDIF(F20,S20,"d")</f>
        <v>0</v>
      </c>
      <c r="U20" s="137"/>
      <c r="V20" s="137"/>
    </row>
    <row r="21" s="148" customFormat="true" ht="15" hidden="false" customHeight="false" outlineLevel="0" collapsed="false">
      <c r="A21" s="135"/>
      <c r="B21" s="135"/>
      <c r="C21" s="135"/>
      <c r="D21" s="135"/>
      <c r="E21" s="135"/>
      <c r="F21" s="139"/>
      <c r="G21" s="140"/>
      <c r="H21" s="139"/>
      <c r="I21" s="135"/>
      <c r="J21" s="145"/>
      <c r="K21" s="146"/>
      <c r="L21" s="147"/>
      <c r="M21" s="147" t="n">
        <v>180000000000</v>
      </c>
      <c r="N21" s="135"/>
      <c r="O21" s="135"/>
      <c r="P21" s="135"/>
      <c r="Q21" s="140"/>
      <c r="R21" s="137"/>
      <c r="S21" s="157"/>
      <c r="T21" s="135"/>
      <c r="U21" s="137"/>
      <c r="V21" s="137"/>
    </row>
  </sheetData>
  <mergeCells count="180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B24" activeCellId="0" sqref="B2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158" width="11.42"/>
    <col collapsed="false" customWidth="true" hidden="false" outlineLevel="0" max="3" min="3" style="0" width="17.42"/>
    <col collapsed="false" customWidth="false" hidden="false" outlineLevel="0" max="4" min="4" style="128" width="8.71"/>
    <col collapsed="false" customWidth="true" hidden="false" outlineLevel="0" max="6" min="6" style="0" width="10.71"/>
    <col collapsed="false" customWidth="true" hidden="false" outlineLevel="0" max="7" min="7" style="0" width="13.7"/>
    <col collapsed="false" customWidth="true" hidden="false" outlineLevel="0" max="8" min="8" style="0" width="11.57"/>
    <col collapsed="false" customWidth="true" hidden="false" outlineLevel="0" max="9" min="9" style="0" width="12.29"/>
    <col collapsed="false" customWidth="true" hidden="false" outlineLevel="0" max="10" min="10" style="0" width="25.29"/>
    <col collapsed="false" customWidth="true" hidden="false" outlineLevel="0" max="12" min="11" style="0" width="10.99"/>
    <col collapsed="false" customWidth="true" hidden="false" outlineLevel="0" max="13" min="13" style="0" width="12.57"/>
    <col collapsed="false" customWidth="true" hidden="false" outlineLevel="0" max="14" min="14" style="0" width="12.71"/>
    <col collapsed="false" customWidth="true" hidden="false" outlineLevel="0" max="16" min="16" style="0" width="12.29"/>
    <col collapsed="false" customWidth="true" hidden="false" outlineLevel="0" max="17" min="17" style="0" width="13.7"/>
    <col collapsed="false" customWidth="true" hidden="false" outlineLevel="0" max="18" min="18" style="0" width="16.71"/>
    <col collapsed="false" customWidth="true" hidden="false" outlineLevel="0" max="19" min="19" style="0" width="18"/>
    <col collapsed="false" customWidth="true" hidden="false" outlineLevel="0" max="20" min="20" style="0" width="13.29"/>
    <col collapsed="false" customWidth="true" hidden="false" outlineLevel="0" max="21" min="21" style="0" width="40.71"/>
    <col collapsed="false" customWidth="true" hidden="false" outlineLevel="0" max="22" min="22" style="0" width="42.29"/>
  </cols>
  <sheetData>
    <row r="1" customFormat="false" ht="31.5" hidden="false" customHeight="true" outlineLevel="0" collapsed="false">
      <c r="B1" s="159" t="s">
        <v>1</v>
      </c>
      <c r="C1" s="129" t="s">
        <v>2</v>
      </c>
      <c r="D1" s="129" t="s">
        <v>3</v>
      </c>
      <c r="E1" s="129" t="s">
        <v>4</v>
      </c>
      <c r="F1" s="129" t="s">
        <v>5</v>
      </c>
      <c r="G1" s="130" t="s">
        <v>6</v>
      </c>
      <c r="H1" s="131" t="s">
        <v>7</v>
      </c>
      <c r="I1" s="129" t="s">
        <v>103</v>
      </c>
      <c r="J1" s="129" t="s">
        <v>11</v>
      </c>
      <c r="K1" s="129" t="s">
        <v>12</v>
      </c>
      <c r="L1" s="129" t="s">
        <v>13</v>
      </c>
      <c r="M1" s="129" t="s">
        <v>14</v>
      </c>
      <c r="N1" s="131" t="s">
        <v>15</v>
      </c>
      <c r="O1" s="132" t="s">
        <v>16</v>
      </c>
      <c r="P1" s="133" t="s">
        <v>104</v>
      </c>
      <c r="Q1" s="131" t="s">
        <v>18</v>
      </c>
      <c r="R1" s="134" t="s">
        <v>19</v>
      </c>
      <c r="S1" s="129" t="s">
        <v>20</v>
      </c>
      <c r="T1" s="131" t="s">
        <v>21</v>
      </c>
      <c r="U1" s="129" t="s">
        <v>104</v>
      </c>
      <c r="V1" s="129" t="s">
        <v>124</v>
      </c>
    </row>
    <row r="2" customFormat="false" ht="15" hidden="false" customHeight="true" outlineLevel="0" collapsed="false">
      <c r="A2" s="135" t="s">
        <v>125</v>
      </c>
      <c r="B2" s="136" t="s">
        <v>126</v>
      </c>
      <c r="C2" s="135" t="s">
        <v>127</v>
      </c>
      <c r="D2" s="135" t="n">
        <v>654727</v>
      </c>
      <c r="E2" s="135" t="s">
        <v>27</v>
      </c>
      <c r="F2" s="139" t="n">
        <v>44850</v>
      </c>
      <c r="G2" s="140" t="s">
        <v>28</v>
      </c>
      <c r="H2" s="139" t="n">
        <v>44883</v>
      </c>
      <c r="I2" s="135" t="n">
        <f aca="false">H2-F2</f>
        <v>33</v>
      </c>
      <c r="J2" s="141" t="s">
        <v>30</v>
      </c>
      <c r="K2" s="128" t="s">
        <v>31</v>
      </c>
      <c r="L2" s="160" t="n">
        <v>41300000000000</v>
      </c>
      <c r="M2" s="143" t="n">
        <v>600000000</v>
      </c>
      <c r="N2" s="135" t="s">
        <v>107</v>
      </c>
      <c r="O2" s="135" t="s">
        <v>33</v>
      </c>
      <c r="P2" s="135" t="s">
        <v>36</v>
      </c>
      <c r="Q2" s="140" t="s">
        <v>28</v>
      </c>
      <c r="R2" s="137" t="s">
        <v>35</v>
      </c>
      <c r="S2" s="144" t="n">
        <v>44935</v>
      </c>
      <c r="T2" s="135" t="n">
        <f aca="false">DATEDIF(F2,S2,"d")</f>
        <v>85</v>
      </c>
      <c r="U2" s="135" t="s">
        <v>34</v>
      </c>
      <c r="V2" s="135" t="s">
        <v>128</v>
      </c>
    </row>
    <row r="3" s="148" customFormat="true" ht="15" hidden="false" customHeight="false" outlineLevel="0" collapsed="false">
      <c r="A3" s="135"/>
      <c r="B3" s="136"/>
      <c r="C3" s="135"/>
      <c r="D3" s="135"/>
      <c r="E3" s="135"/>
      <c r="F3" s="139"/>
      <c r="G3" s="140"/>
      <c r="H3" s="139"/>
      <c r="I3" s="135"/>
      <c r="J3" s="145" t="s">
        <v>48</v>
      </c>
      <c r="K3" s="146" t="s">
        <v>49</v>
      </c>
      <c r="L3" s="161" t="n">
        <v>19500000000000</v>
      </c>
      <c r="M3" s="147" t="n">
        <v>180000000000</v>
      </c>
      <c r="N3" s="135"/>
      <c r="O3" s="135"/>
      <c r="P3" s="135"/>
      <c r="Q3" s="140"/>
      <c r="R3" s="137"/>
      <c r="S3" s="144"/>
      <c r="T3" s="135"/>
      <c r="U3" s="135"/>
      <c r="V3" s="135"/>
    </row>
    <row r="4" customFormat="false" ht="14.65" hidden="false" customHeight="true" outlineLevel="0" collapsed="false">
      <c r="A4" s="135" t="n">
        <v>2</v>
      </c>
      <c r="B4" s="162" t="s">
        <v>129</v>
      </c>
      <c r="C4" s="135" t="s">
        <v>127</v>
      </c>
      <c r="D4" s="135" t="n">
        <v>657676</v>
      </c>
      <c r="E4" s="135" t="s">
        <v>27</v>
      </c>
      <c r="F4" s="139" t="n">
        <v>44874</v>
      </c>
      <c r="G4" s="140" t="s">
        <v>28</v>
      </c>
      <c r="H4" s="139" t="n">
        <v>44909</v>
      </c>
      <c r="I4" s="135" t="n">
        <f aca="false">H4-F4</f>
        <v>35</v>
      </c>
      <c r="J4" s="150" t="s">
        <v>30</v>
      </c>
      <c r="K4" s="155" t="s">
        <v>31</v>
      </c>
      <c r="L4" s="142" t="n">
        <v>41300000000000</v>
      </c>
      <c r="M4" s="143" t="n">
        <v>600000000</v>
      </c>
      <c r="N4" s="135" t="s">
        <v>107</v>
      </c>
      <c r="O4" s="135" t="s">
        <v>33</v>
      </c>
      <c r="P4" s="135" t="s">
        <v>36</v>
      </c>
      <c r="Q4" s="140" t="s">
        <v>28</v>
      </c>
      <c r="R4" s="137" t="s">
        <v>35</v>
      </c>
      <c r="S4" s="144" t="n">
        <v>44958</v>
      </c>
      <c r="T4" s="135" t="n">
        <f aca="false">DATEDIF(F4,S4,"d")</f>
        <v>84</v>
      </c>
      <c r="U4" s="135" t="s">
        <v>34</v>
      </c>
      <c r="V4" s="135" t="s">
        <v>130</v>
      </c>
    </row>
    <row r="5" s="148" customFormat="true" ht="15" hidden="false" customHeight="false" outlineLevel="0" collapsed="false">
      <c r="A5" s="135"/>
      <c r="B5" s="162"/>
      <c r="C5" s="135"/>
      <c r="D5" s="135"/>
      <c r="E5" s="135"/>
      <c r="F5" s="139"/>
      <c r="G5" s="140"/>
      <c r="H5" s="139"/>
      <c r="I5" s="135"/>
      <c r="J5" s="145" t="s">
        <v>39</v>
      </c>
      <c r="K5" s="146" t="s">
        <v>40</v>
      </c>
      <c r="L5" s="147" t="n">
        <v>43800000000000</v>
      </c>
      <c r="M5" s="147" t="n">
        <v>180000000000</v>
      </c>
      <c r="N5" s="135"/>
      <c r="O5" s="135"/>
      <c r="P5" s="135"/>
      <c r="Q5" s="140"/>
      <c r="R5" s="137"/>
      <c r="S5" s="144" t="n">
        <v>44935</v>
      </c>
      <c r="T5" s="135"/>
      <c r="U5" s="135"/>
      <c r="V5" s="135"/>
      <c r="W5" s="148" t="s">
        <v>38</v>
      </c>
    </row>
    <row r="6" customFormat="false" ht="15" hidden="false" customHeight="true" outlineLevel="0" collapsed="false">
      <c r="A6" s="135" t="n">
        <v>3</v>
      </c>
      <c r="B6" s="136" t="s">
        <v>97</v>
      </c>
      <c r="C6" s="135" t="s">
        <v>127</v>
      </c>
      <c r="D6" s="135" t="n">
        <v>657677</v>
      </c>
      <c r="E6" s="135" t="s">
        <v>27</v>
      </c>
      <c r="F6" s="139" t="n">
        <v>44874</v>
      </c>
      <c r="G6" s="140" t="s">
        <v>28</v>
      </c>
      <c r="H6" s="139" t="n">
        <v>44909</v>
      </c>
      <c r="I6" s="135" t="n">
        <f aca="false">H6-F6</f>
        <v>35</v>
      </c>
      <c r="J6" s="150" t="s">
        <v>30</v>
      </c>
      <c r="K6" s="155" t="s">
        <v>31</v>
      </c>
      <c r="L6" s="142" t="n">
        <v>41300000000000</v>
      </c>
      <c r="M6" s="143" t="n">
        <v>600000000</v>
      </c>
      <c r="N6" s="135" t="s">
        <v>107</v>
      </c>
      <c r="O6" s="135" t="s">
        <v>33</v>
      </c>
      <c r="P6" s="135" t="s">
        <v>36</v>
      </c>
      <c r="Q6" s="140" t="s">
        <v>28</v>
      </c>
      <c r="R6" s="137" t="s">
        <v>35</v>
      </c>
      <c r="S6" s="144" t="n">
        <v>44958</v>
      </c>
      <c r="T6" s="135" t="n">
        <f aca="false">DATEDIF(F6,S6,"d")</f>
        <v>84</v>
      </c>
      <c r="U6" s="135" t="s">
        <v>131</v>
      </c>
      <c r="V6" s="135" t="s">
        <v>132</v>
      </c>
    </row>
    <row r="7" s="148" customFormat="true" ht="15" hidden="false" customHeight="false" outlineLevel="0" collapsed="false">
      <c r="A7" s="135"/>
      <c r="B7" s="136"/>
      <c r="C7" s="135"/>
      <c r="D7" s="135"/>
      <c r="E7" s="135"/>
      <c r="F7" s="139"/>
      <c r="G7" s="140"/>
      <c r="H7" s="139"/>
      <c r="I7" s="135"/>
      <c r="J7" s="145" t="s">
        <v>39</v>
      </c>
      <c r="K7" s="146" t="s">
        <v>40</v>
      </c>
      <c r="L7" s="147" t="n">
        <v>43800000000000</v>
      </c>
      <c r="M7" s="147" t="n">
        <v>180000000000</v>
      </c>
      <c r="N7" s="135"/>
      <c r="O7" s="135"/>
      <c r="P7" s="135"/>
      <c r="Q7" s="140"/>
      <c r="R7" s="137"/>
      <c r="S7" s="144" t="n">
        <v>44935</v>
      </c>
      <c r="T7" s="135"/>
      <c r="U7" s="135"/>
      <c r="V7" s="135"/>
    </row>
    <row r="8" customFormat="false" ht="15" hidden="false" customHeight="true" outlineLevel="0" collapsed="false">
      <c r="A8" s="135" t="n">
        <v>4</v>
      </c>
      <c r="B8" s="136" t="s">
        <v>97</v>
      </c>
      <c r="C8" s="135" t="s">
        <v>127</v>
      </c>
      <c r="D8" s="135" t="n">
        <v>661293</v>
      </c>
      <c r="E8" s="135" t="s">
        <v>27</v>
      </c>
      <c r="F8" s="139" t="n">
        <v>44904</v>
      </c>
      <c r="G8" s="140" t="s">
        <v>28</v>
      </c>
      <c r="H8" s="139" t="n">
        <v>44936</v>
      </c>
      <c r="I8" s="135" t="n">
        <f aca="false">H8-F8</f>
        <v>32</v>
      </c>
      <c r="J8" s="150" t="s">
        <v>30</v>
      </c>
      <c r="K8" s="155" t="s">
        <v>31</v>
      </c>
      <c r="L8" s="142" t="n">
        <v>41300000000000</v>
      </c>
      <c r="M8" s="143" t="n">
        <v>600000000</v>
      </c>
      <c r="N8" s="135" t="s">
        <v>107</v>
      </c>
      <c r="O8" s="135" t="s">
        <v>33</v>
      </c>
      <c r="P8" s="135" t="s">
        <v>133</v>
      </c>
      <c r="Q8" s="140" t="s">
        <v>28</v>
      </c>
      <c r="R8" s="137" t="s">
        <v>35</v>
      </c>
      <c r="S8" s="144" t="n">
        <v>44974</v>
      </c>
      <c r="T8" s="135" t="n">
        <f aca="false">DATEDIF(F8,S8,"d")</f>
        <v>70</v>
      </c>
      <c r="U8" s="135" t="s">
        <v>34</v>
      </c>
      <c r="V8" s="135" t="s">
        <v>134</v>
      </c>
    </row>
    <row r="9" s="148" customFormat="true" ht="15" hidden="false" customHeight="false" outlineLevel="0" collapsed="false">
      <c r="A9" s="135"/>
      <c r="B9" s="136"/>
      <c r="C9" s="135"/>
      <c r="D9" s="135"/>
      <c r="E9" s="135"/>
      <c r="F9" s="139"/>
      <c r="G9" s="140"/>
      <c r="H9" s="139"/>
      <c r="I9" s="135"/>
      <c r="J9" s="145" t="s">
        <v>39</v>
      </c>
      <c r="K9" s="146" t="s">
        <v>40</v>
      </c>
      <c r="L9" s="147" t="n">
        <v>43800000000000</v>
      </c>
      <c r="M9" s="147" t="n">
        <v>180000000000</v>
      </c>
      <c r="N9" s="135"/>
      <c r="O9" s="135"/>
      <c r="P9" s="135"/>
      <c r="Q9" s="140"/>
      <c r="R9" s="137"/>
      <c r="S9" s="144"/>
      <c r="T9" s="135"/>
      <c r="U9" s="135"/>
      <c r="V9" s="135"/>
    </row>
    <row r="10" customFormat="false" ht="15" hidden="false" customHeight="true" outlineLevel="0" collapsed="false">
      <c r="A10" s="135" t="n">
        <v>5</v>
      </c>
      <c r="B10" s="136" t="s">
        <v>97</v>
      </c>
      <c r="C10" s="135" t="s">
        <v>127</v>
      </c>
      <c r="D10" s="135" t="n">
        <v>661299</v>
      </c>
      <c r="E10" s="135" t="s">
        <v>45</v>
      </c>
      <c r="F10" s="139" t="n">
        <v>44904</v>
      </c>
      <c r="G10" s="140" t="s">
        <v>28</v>
      </c>
      <c r="H10" s="139" t="n">
        <v>44936</v>
      </c>
      <c r="I10" s="135" t="n">
        <f aca="false">H10-F10</f>
        <v>32</v>
      </c>
      <c r="J10" s="150" t="s">
        <v>30</v>
      </c>
      <c r="K10" s="155" t="s">
        <v>31</v>
      </c>
      <c r="L10" s="142" t="n">
        <v>41300000000000</v>
      </c>
      <c r="M10" s="143" t="n">
        <v>600000000</v>
      </c>
      <c r="N10" s="135" t="s">
        <v>107</v>
      </c>
      <c r="O10" s="135" t="s">
        <v>33</v>
      </c>
      <c r="P10" s="135" t="s">
        <v>133</v>
      </c>
      <c r="Q10" s="140" t="s">
        <v>28</v>
      </c>
      <c r="R10" s="137" t="s">
        <v>35</v>
      </c>
      <c r="S10" s="144" t="n">
        <v>44974</v>
      </c>
      <c r="T10" s="135" t="n">
        <f aca="false">DATEDIF(F10,S10,"d")</f>
        <v>70</v>
      </c>
      <c r="U10" s="135" t="s">
        <v>34</v>
      </c>
      <c r="V10" s="135" t="s">
        <v>135</v>
      </c>
    </row>
    <row r="11" s="148" customFormat="true" ht="15" hidden="false" customHeight="false" outlineLevel="0" collapsed="false">
      <c r="A11" s="135"/>
      <c r="B11" s="136"/>
      <c r="C11" s="135"/>
      <c r="D11" s="135"/>
      <c r="E11" s="135"/>
      <c r="F11" s="139"/>
      <c r="G11" s="140"/>
      <c r="H11" s="139"/>
      <c r="I11" s="135"/>
      <c r="J11" s="145" t="s">
        <v>39</v>
      </c>
      <c r="K11" s="146" t="s">
        <v>40</v>
      </c>
      <c r="L11" s="147" t="n">
        <v>43800000000000</v>
      </c>
      <c r="M11" s="147" t="n">
        <v>180000000000</v>
      </c>
      <c r="N11" s="135"/>
      <c r="O11" s="135"/>
      <c r="P11" s="135"/>
      <c r="Q11" s="140"/>
      <c r="R11" s="137"/>
      <c r="S11" s="144"/>
      <c r="T11" s="135"/>
      <c r="U11" s="135"/>
      <c r="V11" s="135"/>
    </row>
    <row r="12" customFormat="false" ht="14.65" hidden="false" customHeight="true" outlineLevel="0" collapsed="false">
      <c r="A12" s="135" t="n">
        <v>6</v>
      </c>
      <c r="B12" s="162" t="s">
        <v>129</v>
      </c>
      <c r="C12" s="135" t="s">
        <v>127</v>
      </c>
      <c r="D12" s="135" t="n">
        <v>661300</v>
      </c>
      <c r="E12" s="135" t="s">
        <v>45</v>
      </c>
      <c r="F12" s="139" t="n">
        <v>44904</v>
      </c>
      <c r="G12" s="140" t="s">
        <v>28</v>
      </c>
      <c r="H12" s="139" t="n">
        <v>44936</v>
      </c>
      <c r="I12" s="135" t="n">
        <f aca="false">H12-F12</f>
        <v>32</v>
      </c>
      <c r="J12" s="150" t="s">
        <v>30</v>
      </c>
      <c r="K12" s="155" t="s">
        <v>31</v>
      </c>
      <c r="L12" s="142" t="n">
        <v>41300000000000</v>
      </c>
      <c r="M12" s="143" t="n">
        <v>600000000</v>
      </c>
      <c r="N12" s="135" t="s">
        <v>107</v>
      </c>
      <c r="O12" s="135" t="s">
        <v>33</v>
      </c>
      <c r="P12" s="135" t="s">
        <v>36</v>
      </c>
      <c r="Q12" s="140" t="s">
        <v>28</v>
      </c>
      <c r="R12" s="137" t="s">
        <v>35</v>
      </c>
      <c r="S12" s="144" t="n">
        <v>44974</v>
      </c>
      <c r="T12" s="135" t="n">
        <f aca="false">DATEDIF(F12,S12,"d")</f>
        <v>70</v>
      </c>
      <c r="U12" s="135" t="s">
        <v>136</v>
      </c>
      <c r="V12" s="135" t="s">
        <v>134</v>
      </c>
    </row>
    <row r="13" s="148" customFormat="true" ht="15" hidden="false" customHeight="false" outlineLevel="0" collapsed="false">
      <c r="A13" s="135"/>
      <c r="B13" s="162"/>
      <c r="C13" s="135"/>
      <c r="D13" s="135"/>
      <c r="E13" s="135"/>
      <c r="F13" s="139"/>
      <c r="G13" s="140"/>
      <c r="H13" s="139"/>
      <c r="I13" s="135"/>
      <c r="J13" s="145" t="s">
        <v>39</v>
      </c>
      <c r="K13" s="146" t="s">
        <v>40</v>
      </c>
      <c r="L13" s="147" t="n">
        <v>43800000000000</v>
      </c>
      <c r="M13" s="147" t="n">
        <v>180000000000</v>
      </c>
      <c r="N13" s="135"/>
      <c r="O13" s="135"/>
      <c r="P13" s="135"/>
      <c r="Q13" s="140"/>
      <c r="R13" s="137"/>
      <c r="S13" s="144"/>
      <c r="T13" s="135"/>
      <c r="U13" s="135"/>
      <c r="V13" s="135"/>
      <c r="W13" s="148" t="s">
        <v>38</v>
      </c>
    </row>
    <row r="14" customFormat="false" ht="15" hidden="false" customHeight="true" outlineLevel="0" collapsed="false">
      <c r="A14" s="135" t="n">
        <v>7</v>
      </c>
      <c r="B14" s="136" t="s">
        <v>97</v>
      </c>
      <c r="C14" s="135" t="s">
        <v>127</v>
      </c>
      <c r="D14" s="135" t="n">
        <v>663413</v>
      </c>
      <c r="E14" s="135" t="s">
        <v>45</v>
      </c>
      <c r="F14" s="139" t="n">
        <v>44925</v>
      </c>
      <c r="G14" s="140" t="s">
        <v>28</v>
      </c>
      <c r="H14" s="139" t="n">
        <v>44960</v>
      </c>
      <c r="I14" s="135" t="n">
        <f aca="false">H14-F14</f>
        <v>35</v>
      </c>
      <c r="J14" s="141" t="s">
        <v>30</v>
      </c>
      <c r="K14" s="155" t="s">
        <v>31</v>
      </c>
      <c r="L14" s="142" t="n">
        <v>41300000000000</v>
      </c>
      <c r="M14" s="143" t="n">
        <v>600000000</v>
      </c>
      <c r="N14" s="135" t="s">
        <v>107</v>
      </c>
      <c r="O14" s="135" t="s">
        <v>33</v>
      </c>
      <c r="P14" s="135" t="s">
        <v>36</v>
      </c>
      <c r="Q14" s="140" t="s">
        <v>28</v>
      </c>
      <c r="R14" s="137" t="s">
        <v>35</v>
      </c>
      <c r="S14" s="163" t="n">
        <v>44995</v>
      </c>
      <c r="T14" s="135" t="n">
        <f aca="false">DATEDIF(F14,S14,"d")</f>
        <v>70</v>
      </c>
      <c r="U14" s="135" t="s">
        <v>137</v>
      </c>
      <c r="V14" s="135" t="s">
        <v>134</v>
      </c>
    </row>
    <row r="15" s="148" customFormat="true" ht="15" hidden="false" customHeight="false" outlineLevel="0" collapsed="false">
      <c r="A15" s="135"/>
      <c r="B15" s="136"/>
      <c r="C15" s="135"/>
      <c r="D15" s="135"/>
      <c r="E15" s="135"/>
      <c r="F15" s="139"/>
      <c r="G15" s="140"/>
      <c r="H15" s="139"/>
      <c r="I15" s="135"/>
      <c r="J15" s="145" t="s">
        <v>48</v>
      </c>
      <c r="K15" s="146" t="s">
        <v>110</v>
      </c>
      <c r="L15" s="147" t="n">
        <v>30700000000000</v>
      </c>
      <c r="M15" s="147" t="n">
        <v>180000000000</v>
      </c>
      <c r="N15" s="135"/>
      <c r="O15" s="135"/>
      <c r="P15" s="135"/>
      <c r="Q15" s="140"/>
      <c r="R15" s="137"/>
      <c r="S15" s="163"/>
      <c r="T15" s="135"/>
      <c r="U15" s="135"/>
      <c r="V15" s="135"/>
    </row>
    <row r="16" customFormat="false" ht="15" hidden="false" customHeight="true" outlineLevel="0" collapsed="false">
      <c r="A16" s="135" t="n">
        <v>8</v>
      </c>
      <c r="B16" s="136" t="s">
        <v>97</v>
      </c>
      <c r="C16" s="135" t="s">
        <v>127</v>
      </c>
      <c r="D16" s="135" t="n">
        <v>663412</v>
      </c>
      <c r="E16" s="135" t="s">
        <v>27</v>
      </c>
      <c r="F16" s="139" t="n">
        <v>44925</v>
      </c>
      <c r="G16" s="140" t="s">
        <v>28</v>
      </c>
      <c r="H16" s="139" t="n">
        <v>44960</v>
      </c>
      <c r="I16" s="135" t="n">
        <f aca="false">H16-F16</f>
        <v>35</v>
      </c>
      <c r="J16" s="141" t="s">
        <v>30</v>
      </c>
      <c r="K16" s="155" t="s">
        <v>31</v>
      </c>
      <c r="L16" s="142" t="n">
        <v>41300000000000</v>
      </c>
      <c r="M16" s="143" t="n">
        <v>600000000</v>
      </c>
      <c r="N16" s="135" t="s">
        <v>107</v>
      </c>
      <c r="O16" s="135" t="s">
        <v>33</v>
      </c>
      <c r="P16" s="135" t="s">
        <v>36</v>
      </c>
      <c r="Q16" s="140" t="s">
        <v>28</v>
      </c>
      <c r="R16" s="137" t="s">
        <v>35</v>
      </c>
      <c r="S16" s="163" t="n">
        <v>44995</v>
      </c>
      <c r="T16" s="135" t="n">
        <f aca="false">DATEDIF(F16,S16,"d")</f>
        <v>70</v>
      </c>
      <c r="U16" s="135" t="s">
        <v>137</v>
      </c>
      <c r="V16" s="135" t="s">
        <v>134</v>
      </c>
    </row>
    <row r="17" s="148" customFormat="true" ht="15" hidden="false" customHeight="false" outlineLevel="0" collapsed="false">
      <c r="A17" s="135"/>
      <c r="B17" s="136"/>
      <c r="C17" s="135"/>
      <c r="D17" s="135"/>
      <c r="E17" s="135"/>
      <c r="F17" s="139"/>
      <c r="G17" s="140"/>
      <c r="H17" s="139"/>
      <c r="I17" s="135"/>
      <c r="J17" s="145" t="s">
        <v>48</v>
      </c>
      <c r="K17" s="146" t="s">
        <v>110</v>
      </c>
      <c r="L17" s="147" t="n">
        <v>30700000000000</v>
      </c>
      <c r="M17" s="147" t="n">
        <v>180000000000</v>
      </c>
      <c r="N17" s="135"/>
      <c r="O17" s="135"/>
      <c r="P17" s="135"/>
      <c r="Q17" s="140"/>
      <c r="R17" s="137"/>
      <c r="S17" s="163"/>
      <c r="T17" s="135"/>
      <c r="U17" s="135"/>
      <c r="V17" s="135"/>
    </row>
    <row r="18" customFormat="false" ht="15" hidden="false" customHeight="true" outlineLevel="0" collapsed="false">
      <c r="A18" s="135" t="n">
        <v>9</v>
      </c>
      <c r="B18" s="136" t="s">
        <v>97</v>
      </c>
      <c r="C18" s="135" t="s">
        <v>127</v>
      </c>
      <c r="D18" s="135" t="n">
        <v>663410</v>
      </c>
      <c r="E18" s="135" t="s">
        <v>27</v>
      </c>
      <c r="F18" s="139" t="n">
        <v>44925</v>
      </c>
      <c r="G18" s="140" t="s">
        <v>28</v>
      </c>
      <c r="H18" s="139" t="n">
        <v>44960</v>
      </c>
      <c r="I18" s="135" t="n">
        <f aca="false">H18-F18</f>
        <v>35</v>
      </c>
      <c r="J18" s="141" t="s">
        <v>30</v>
      </c>
      <c r="K18" s="155" t="s">
        <v>31</v>
      </c>
      <c r="L18" s="142" t="n">
        <v>41300000000000</v>
      </c>
      <c r="M18" s="143" t="n">
        <v>600000000</v>
      </c>
      <c r="N18" s="135" t="s">
        <v>107</v>
      </c>
      <c r="O18" s="135" t="s">
        <v>33</v>
      </c>
      <c r="P18" s="135" t="s">
        <v>36</v>
      </c>
      <c r="Q18" s="140" t="s">
        <v>28</v>
      </c>
      <c r="R18" s="137" t="s">
        <v>35</v>
      </c>
      <c r="S18" s="163" t="n">
        <v>44995</v>
      </c>
      <c r="T18" s="135" t="n">
        <f aca="false">DATEDIF(F18,S18,"d")</f>
        <v>70</v>
      </c>
      <c r="U18" s="135" t="s">
        <v>138</v>
      </c>
      <c r="V18" s="135" t="s">
        <v>134</v>
      </c>
    </row>
    <row r="19" s="148" customFormat="true" ht="15" hidden="false" customHeight="false" outlineLevel="0" collapsed="false">
      <c r="A19" s="135"/>
      <c r="B19" s="136"/>
      <c r="C19" s="135"/>
      <c r="D19" s="135"/>
      <c r="E19" s="135"/>
      <c r="F19" s="139"/>
      <c r="G19" s="140"/>
      <c r="H19" s="139"/>
      <c r="I19" s="135"/>
      <c r="J19" s="145" t="s">
        <v>48</v>
      </c>
      <c r="K19" s="146" t="s">
        <v>110</v>
      </c>
      <c r="L19" s="147" t="n">
        <v>30700000000000</v>
      </c>
      <c r="M19" s="147" t="n">
        <v>180000000000</v>
      </c>
      <c r="N19" s="135"/>
      <c r="O19" s="135"/>
      <c r="P19" s="135"/>
      <c r="Q19" s="140"/>
      <c r="R19" s="137"/>
      <c r="S19" s="163"/>
      <c r="T19" s="135"/>
      <c r="U19" s="135"/>
      <c r="V19" s="135"/>
    </row>
    <row r="23" customFormat="false" ht="105" hidden="false" customHeight="false" outlineLevel="0" collapsed="false">
      <c r="B23" s="164" t="s">
        <v>139</v>
      </c>
      <c r="C23" s="165" t="s">
        <v>140</v>
      </c>
    </row>
    <row r="25" customFormat="false" ht="15" hidden="false" customHeight="false" outlineLevel="0" collapsed="false">
      <c r="C25" s="0" t="s">
        <v>141</v>
      </c>
    </row>
    <row r="26" s="176" customFormat="true" ht="15" hidden="false" customHeight="true" outlineLevel="0" collapsed="false">
      <c r="A26" s="166"/>
      <c r="B26" s="167"/>
      <c r="C26" s="166" t="s">
        <v>127</v>
      </c>
      <c r="D26" s="166" t="n">
        <v>657679</v>
      </c>
      <c r="E26" s="166" t="s">
        <v>45</v>
      </c>
      <c r="F26" s="168" t="n">
        <v>44874</v>
      </c>
      <c r="G26" s="169" t="s">
        <v>28</v>
      </c>
      <c r="H26" s="168" t="n">
        <v>44909</v>
      </c>
      <c r="I26" s="166" t="n">
        <f aca="false">H26-F26</f>
        <v>35</v>
      </c>
      <c r="J26" s="170" t="s">
        <v>142</v>
      </c>
      <c r="K26" s="171"/>
      <c r="L26" s="172"/>
      <c r="M26" s="172" t="n">
        <v>600000000</v>
      </c>
      <c r="N26" s="166" t="s">
        <v>107</v>
      </c>
      <c r="O26" s="166" t="s">
        <v>33</v>
      </c>
      <c r="P26" s="166" t="s">
        <v>36</v>
      </c>
      <c r="Q26" s="169" t="s">
        <v>28</v>
      </c>
      <c r="R26" s="173" t="s">
        <v>35</v>
      </c>
      <c r="S26" s="174" t="n">
        <v>44958</v>
      </c>
      <c r="T26" s="175"/>
    </row>
    <row r="27" s="182" customFormat="true" ht="15" hidden="false" customHeight="false" outlineLevel="0" collapsed="false">
      <c r="A27" s="166"/>
      <c r="B27" s="177"/>
      <c r="C27" s="166"/>
      <c r="D27" s="166"/>
      <c r="E27" s="166"/>
      <c r="F27" s="168"/>
      <c r="G27" s="169"/>
      <c r="H27" s="168"/>
      <c r="I27" s="166"/>
      <c r="J27" s="178"/>
      <c r="K27" s="179"/>
      <c r="L27" s="180"/>
      <c r="M27" s="180" t="n">
        <v>180000000000</v>
      </c>
      <c r="N27" s="166"/>
      <c r="O27" s="166"/>
      <c r="P27" s="166"/>
      <c r="Q27" s="169"/>
      <c r="R27" s="173"/>
      <c r="S27" s="174" t="n">
        <v>44935</v>
      </c>
      <c r="T27" s="181"/>
    </row>
    <row r="29" s="192" customFormat="true" ht="15" hidden="false" customHeight="true" outlineLevel="0" collapsed="false">
      <c r="A29" s="152" t="n">
        <v>10</v>
      </c>
      <c r="B29" s="183"/>
      <c r="C29" s="152" t="s">
        <v>127</v>
      </c>
      <c r="D29" s="152" t="n">
        <v>663409</v>
      </c>
      <c r="E29" s="152" t="s">
        <v>27</v>
      </c>
      <c r="F29" s="184" t="n">
        <v>44925</v>
      </c>
      <c r="G29" s="185" t="s">
        <v>28</v>
      </c>
      <c r="H29" s="184" t="n">
        <v>44960</v>
      </c>
      <c r="I29" s="152" t="n">
        <f aca="false">H29-F29</f>
        <v>35</v>
      </c>
      <c r="J29" s="186" t="s">
        <v>30</v>
      </c>
      <c r="K29" s="187" t="s">
        <v>31</v>
      </c>
      <c r="L29" s="188" t="n">
        <v>41300000000000</v>
      </c>
      <c r="M29" s="189" t="n">
        <v>600000000</v>
      </c>
      <c r="N29" s="152" t="s">
        <v>107</v>
      </c>
      <c r="O29" s="152" t="s">
        <v>33</v>
      </c>
      <c r="P29" s="152" t="s">
        <v>36</v>
      </c>
      <c r="Q29" s="185" t="s">
        <v>28</v>
      </c>
      <c r="R29" s="190" t="s">
        <v>35</v>
      </c>
      <c r="S29" s="151" t="n">
        <v>44995</v>
      </c>
      <c r="T29" s="152" t="n">
        <f aca="false">DATEDIF(F29,S29,"d")</f>
        <v>70</v>
      </c>
      <c r="U29" s="191" t="s">
        <v>143</v>
      </c>
    </row>
    <row r="30" s="196" customFormat="true" ht="15" hidden="false" customHeight="false" outlineLevel="0" collapsed="false">
      <c r="A30" s="152"/>
      <c r="B30" s="183"/>
      <c r="C30" s="152"/>
      <c r="D30" s="152"/>
      <c r="E30" s="152"/>
      <c r="F30" s="184"/>
      <c r="G30" s="185"/>
      <c r="H30" s="184"/>
      <c r="I30" s="152"/>
      <c r="J30" s="193" t="s">
        <v>48</v>
      </c>
      <c r="K30" s="194" t="s">
        <v>110</v>
      </c>
      <c r="L30" s="195" t="n">
        <v>30700000000000</v>
      </c>
      <c r="M30" s="195" t="n">
        <v>180000000000</v>
      </c>
      <c r="N30" s="152"/>
      <c r="O30" s="152"/>
      <c r="P30" s="152"/>
      <c r="Q30" s="185"/>
      <c r="R30" s="190"/>
      <c r="S30" s="151"/>
      <c r="T30" s="152"/>
      <c r="U30" s="191"/>
    </row>
  </sheetData>
  <mergeCells count="19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A26:A27"/>
    <mergeCell ref="C26:C27"/>
    <mergeCell ref="D26:D27"/>
    <mergeCell ref="E26:E27"/>
    <mergeCell ref="F26:F27"/>
    <mergeCell ref="G26:G27"/>
    <mergeCell ref="H26:H27"/>
    <mergeCell ref="I26:I27"/>
    <mergeCell ref="N26:N27"/>
    <mergeCell ref="O26:O27"/>
    <mergeCell ref="P26:P27"/>
    <mergeCell ref="Q26:Q27"/>
    <mergeCell ref="R26:R27"/>
    <mergeCell ref="S26:S27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N29:N30"/>
    <mergeCell ref="O29:O30"/>
    <mergeCell ref="P29:P30"/>
    <mergeCell ref="Q29:Q30"/>
    <mergeCell ref="R29:R30"/>
    <mergeCell ref="S29:S30"/>
    <mergeCell ref="T29:T30"/>
    <mergeCell ref="U29:U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db134-c2a5-46a7-84c2-32488f7ac4ae">
      <Terms xmlns="http://schemas.microsoft.com/office/infopath/2007/PartnerControls"/>
    </lcf76f155ced4ddcb4097134ff3c332f>
    <TaxCatchAll xmlns="1f53bf18-e89f-4438-9fa3-76ce80cacc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2BD4761D91D43B98AD76CD5F910EB" ma:contentTypeVersion="16" ma:contentTypeDescription="Create a new document." ma:contentTypeScope="" ma:versionID="df1c31ed976ffeb4077498527c63b798">
  <xsd:schema xmlns:xsd="http://www.w3.org/2001/XMLSchema" xmlns:xs="http://www.w3.org/2001/XMLSchema" xmlns:p="http://schemas.microsoft.com/office/2006/metadata/properties" xmlns:ns2="43fdb134-c2a5-46a7-84c2-32488f7ac4ae" xmlns:ns3="1f53bf18-e89f-4438-9fa3-76ce80cacc6f" targetNamespace="http://schemas.microsoft.com/office/2006/metadata/properties" ma:root="true" ma:fieldsID="bcda4c6d1c5f6093805b23ed9ee419ba" ns2:_="" ns3:_="">
    <xsd:import namespace="43fdb134-c2a5-46a7-84c2-32488f7ac4ae"/>
    <xsd:import namespace="1f53bf18-e89f-4438-9fa3-76ce80cac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db134-c2a5-46a7-84c2-32488f7ac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53bf18-e89f-4438-9fa3-76ce80cacc6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ac4af9d-4d07-4f92-a0e3-bb6b270c0793}" ma:internalName="TaxCatchAll" ma:showField="CatchAllData" ma:web="1f53bf18-e89f-4438-9fa3-76ce80cac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B09782-DB46-4624-99F0-905FC9A617E5}"/>
</file>

<file path=customXml/itemProps2.xml><?xml version="1.0" encoding="utf-8"?>
<ds:datastoreItem xmlns:ds="http://schemas.openxmlformats.org/officeDocument/2006/customXml" ds:itemID="{A13F7627-8AAA-4531-855D-D3E89CE3A2BB}"/>
</file>

<file path=customXml/itemProps3.xml><?xml version="1.0" encoding="utf-8"?>
<ds:datastoreItem xmlns:ds="http://schemas.openxmlformats.org/officeDocument/2006/customXml" ds:itemID="{42C5FFC3-534A-456A-AB4F-65E95281638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LibreOffice/7.2.6.2$Linux_X86_64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2021-10-08T15:32:09Z</dcterms:created>
  <dc:creator>Naveen Ouellette</dc:creator>
  <dc:description/>
  <dc:language>en-US</dc:language>
  <cp:lastModifiedBy/>
  <dcterms:modified xsi:type="dcterms:W3CDTF">2023-04-23T13:05:54Z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0x010100CF42BD4761D91D43B98AD76CD5F910EB</vt:lpwstr>
  </property>
  <property fmtid="{D5CDD505-2E9C-101B-9397-08002B2CF9AE}" pid="3" name="MediaServiceImageTags">
    <vt:lpwstr/>
  </property>
</Properties>
</file>